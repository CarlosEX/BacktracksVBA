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carlos.antonio\Desktop\nNNFlowRack\"/>
    </mc:Choice>
  </mc:AlternateContent>
  <xr:revisionPtr revIDLastSave="0" documentId="13_ncr:1_{95CD9901-FA46-4976-9AC4-DCE662C3214F}" xr6:coauthVersionLast="47" xr6:coauthVersionMax="47" xr10:uidLastSave="{00000000-0000-0000-0000-000000000000}"/>
  <bookViews>
    <workbookView xWindow="-108" yWindow="-108" windowWidth="23256" windowHeight="12456" activeTab="5" xr2:uid="{F21C2471-AA2B-4163-8F0F-4AA002F3A8F4}"/>
  </bookViews>
  <sheets>
    <sheet name="HOME" sheetId="10" r:id="rId1"/>
    <sheet name="0.Solver" sheetId="5" r:id="rId2"/>
    <sheet name="1.Solução" sheetId="8" r:id="rId3"/>
    <sheet name="2.Solução" sheetId="6" r:id="rId4"/>
    <sheet name="3.Solução" sheetId="7" r:id="rId5"/>
    <sheet name="4.AnaliseCombinatoria" sheetId="9" r:id="rId6"/>
    <sheet name="BKP" sheetId="3" r:id="rId7"/>
    <sheet name="BASE" sheetId="1" r:id="rId8"/>
  </sheets>
  <functionGroups builtInGroupCount="19"/>
  <definedNames>
    <definedName name="_xleta.AVERAGE" hidden="1" xlm="1">#NAME?</definedName>
    <definedName name="_xleta.DELTA" hidden="1" xlm="1">#NAME?</definedName>
    <definedName name="_xlpm.DELTA" hidden="1" xlm="1">#NAME?</definedName>
    <definedName name="_xlpm.LIMIT" hidden="1" xlm="1">#NAME?</definedName>
    <definedName name="_xlpm.META" hidden="1" xlm="1">#NAME?</definedName>
    <definedName name="_xlpm.RESULTADO" hidden="1" xlm="1">#NAME?</definedName>
    <definedName name="_xlpm.X" hidden="1" xlm="1">#NAME?</definedName>
    <definedName name="OpenSolver_ChosenSolver" localSheetId="1" hidden="1">CBC</definedName>
    <definedName name="OpenSolver_DualsNewSheet" localSheetId="1" hidden="1">0</definedName>
    <definedName name="OpenSolver_LinearityCheck" localSheetId="1" hidden="1">1</definedName>
    <definedName name="OpenSolver_UpdateSensitivity" localSheetId="1" hidden="1">1</definedName>
    <definedName name="solver_adj" localSheetId="1" hidden="1">'0.Solver'!$D$2:$D$20</definedName>
    <definedName name="solver_adj" localSheetId="2" hidden="1">'1.Solução'!$C$2:$C$12</definedName>
    <definedName name="solver_adj" localSheetId="3" hidden="1">'2.Solução'!#REF!</definedName>
    <definedName name="solver_adj" localSheetId="7" hidden="1">BASE!$C$2:$C$13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cvg" localSheetId="7" hidden="1">0.0001</definedName>
    <definedName name="solver_drv" localSheetId="1" hidden="1">1</definedName>
    <definedName name="solver_drv" localSheetId="2" hidden="1">2</definedName>
    <definedName name="solver_drv" localSheetId="3" hidden="1">2</definedName>
    <definedName name="solver_drv" localSheetId="7" hidden="1">2</definedName>
    <definedName name="solver_eng" localSheetId="1" hidden="1">2</definedName>
    <definedName name="solver_eng" localSheetId="2" hidden="1">2</definedName>
    <definedName name="solver_eng" localSheetId="3" hidden="1">2</definedName>
    <definedName name="solver_eng" localSheetId="7" hidden="1">2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est" localSheetId="7" hidden="1">1</definedName>
    <definedName name="solver_itr" localSheetId="1" hidden="1">2147483647</definedName>
    <definedName name="solver_itr" localSheetId="2" hidden="1">2147483647</definedName>
    <definedName name="solver_itr" localSheetId="3" hidden="1">2147483647</definedName>
    <definedName name="solver_itr" localSheetId="7" hidden="1">2147483647</definedName>
    <definedName name="solver_lhs1" localSheetId="1" hidden="1">'0.Solver'!$D$2:$D$20</definedName>
    <definedName name="solver_lhs1" localSheetId="2" hidden="1">'1.Solução'!$C$2:$C$12</definedName>
    <definedName name="solver_lhs1" localSheetId="3" hidden="1">'2.Solução'!#REF!</definedName>
    <definedName name="solver_lhs1" localSheetId="7" hidden="1">BASE!$C$2:$C$13</definedName>
    <definedName name="solver_lhs2" localSheetId="1" hidden="1">'0.Solver'!$G$3</definedName>
    <definedName name="solver_lhs2" localSheetId="2" hidden="1">'1.Solução'!$F$2</definedName>
    <definedName name="solver_lhs2" localSheetId="3" hidden="1">'2.Solução'!#REF!</definedName>
    <definedName name="solver_lhs2" localSheetId="7" hidden="1">BASE!$F$2</definedName>
    <definedName name="solver_lhs3" localSheetId="1" hidden="1">'0.Solver'!$G$4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ip" localSheetId="7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ni" localSheetId="7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rt" localSheetId="7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msl" localSheetId="7" hidden="1">2</definedName>
    <definedName name="solver_neg" localSheetId="1" hidden="1">1</definedName>
    <definedName name="solver_neg" localSheetId="2" hidden="1">1</definedName>
    <definedName name="solver_neg" localSheetId="3" hidden="1">1</definedName>
    <definedName name="solver_neg" localSheetId="7" hidden="1">1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od" localSheetId="7" hidden="1">2147483647</definedName>
    <definedName name="solver_num" localSheetId="1" hidden="1">2</definedName>
    <definedName name="solver_num" localSheetId="2" hidden="1">2</definedName>
    <definedName name="solver_num" localSheetId="3" hidden="1">2</definedName>
    <definedName name="solver_num" localSheetId="7" hidden="1">2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nwt" localSheetId="7" hidden="1">1</definedName>
    <definedName name="solver_opt" localSheetId="1" hidden="1">'0.Solver'!$G$2</definedName>
    <definedName name="solver_opt" localSheetId="2" hidden="1">'1.Solução'!#REF!</definedName>
    <definedName name="solver_opt" localSheetId="3" hidden="1">'2.Solução'!#REF!</definedName>
    <definedName name="solver_opt" localSheetId="7" hidden="1">BASE!$F$3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pre" localSheetId="7" hidden="1">0.000001</definedName>
    <definedName name="solver_rbv" localSheetId="1" hidden="1">1</definedName>
    <definedName name="solver_rbv" localSheetId="2" hidden="1">2</definedName>
    <definedName name="solver_rbv" localSheetId="3" hidden="1">2</definedName>
    <definedName name="solver_rbv" localSheetId="7" hidden="1">2</definedName>
    <definedName name="solver_rel1" localSheetId="1" hidden="1">5</definedName>
    <definedName name="solver_rel1" localSheetId="2" hidden="1">5</definedName>
    <definedName name="solver_rel1" localSheetId="3" hidden="1">5</definedName>
    <definedName name="solver_rel1" localSheetId="7" hidden="1">5</definedName>
    <definedName name="solver_rel2" localSheetId="1" hidden="1">2</definedName>
    <definedName name="solver_rel2" localSheetId="2" hidden="1">2</definedName>
    <definedName name="solver_rel2" localSheetId="3" hidden="1">2</definedName>
    <definedName name="solver_rel2" localSheetId="7" hidden="1">2</definedName>
    <definedName name="solver_rel3" localSheetId="1" hidden="1">1</definedName>
    <definedName name="solver_rhs1" localSheetId="1" hidden="1">"binário"</definedName>
    <definedName name="solver_rhs1" localSheetId="2" hidden="1">"binário"</definedName>
    <definedName name="solver_rhs1" localSheetId="3" hidden="1">"binário"</definedName>
    <definedName name="solver_rhs1" localSheetId="7" hidden="1">"binário"</definedName>
    <definedName name="solver_rhs2" localSheetId="1" hidden="1">10</definedName>
    <definedName name="solver_rhs2" localSheetId="2" hidden="1">10</definedName>
    <definedName name="solver_rhs2" localSheetId="3" hidden="1">10</definedName>
    <definedName name="solver_rhs2" localSheetId="7" hidden="1">10</definedName>
    <definedName name="solver_rhs3" localSheetId="1" hidden="1">'0.Solver'!$G$5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lx" localSheetId="7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rsd" localSheetId="7" hidden="1">0</definedName>
    <definedName name="solver_scl" localSheetId="1" hidden="1">1</definedName>
    <definedName name="solver_scl" localSheetId="2" hidden="1">2</definedName>
    <definedName name="solver_scl" localSheetId="3" hidden="1">2</definedName>
    <definedName name="solver_scl" localSheetId="7" hidden="1">2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ho" localSheetId="7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ssz" localSheetId="7" hidden="1">100</definedName>
    <definedName name="solver_tim" localSheetId="1" hidden="1">2147483647</definedName>
    <definedName name="solver_tim" localSheetId="2" hidden="1">2147483647</definedName>
    <definedName name="solver_tim" localSheetId="3" hidden="1">2147483647</definedName>
    <definedName name="solver_tim" localSheetId="7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ol" localSheetId="7" hidden="1">0.01</definedName>
    <definedName name="solver_typ" localSheetId="1" hidden="1">1</definedName>
    <definedName name="solver_typ" localSheetId="2" hidden="1">1</definedName>
    <definedName name="solver_typ" localSheetId="3" hidden="1">1</definedName>
    <definedName name="solver_typ" localSheetId="7" hidden="1">1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al" localSheetId="7" hidden="1">0</definedName>
    <definedName name="solver_ver" localSheetId="1" hidden="1">3</definedName>
    <definedName name="solver_ver" localSheetId="2" hidden="1">3</definedName>
    <definedName name="solver_ver" localSheetId="3" hidden="1">3</definedName>
    <definedName name="solver_ver" localSheetId="7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5" l="1"/>
  <c r="G3" i="5"/>
</calcChain>
</file>

<file path=xl/sharedStrings.xml><?xml version="1.0" encoding="utf-8"?>
<sst xmlns="http://schemas.openxmlformats.org/spreadsheetml/2006/main" count="45" uniqueCount="26">
  <si>
    <t>MERCADORIA</t>
  </si>
  <si>
    <t>GAVETA_AJUSTE</t>
  </si>
  <si>
    <t>MARCAR</t>
  </si>
  <si>
    <t>META</t>
  </si>
  <si>
    <t>OBJETIVO</t>
  </si>
  <si>
    <t>Valores únicos distintos</t>
  </si>
  <si>
    <t>Quantidade</t>
  </si>
  <si>
    <t>Desc</t>
  </si>
  <si>
    <t>Gavetas Bandeja</t>
  </si>
  <si>
    <t>Gavetas Produto</t>
  </si>
  <si>
    <t>Análise Combinatória</t>
  </si>
  <si>
    <t>Valores Tabela</t>
  </si>
  <si>
    <t>VISITAS</t>
  </si>
  <si>
    <t>GAVETAS</t>
  </si>
  <si>
    <t>(29384) 7</t>
  </si>
  <si>
    <t>(29384) 5+2</t>
  </si>
  <si>
    <t>(29384) 5+1+1</t>
  </si>
  <si>
    <t>(29384) 4+3</t>
  </si>
  <si>
    <t>(29384) 4+2+1</t>
  </si>
  <si>
    <t>(29384) 4+1+1+1</t>
  </si>
  <si>
    <t>(29384) 3+3+1</t>
  </si>
  <si>
    <t>(29384) 3+2+2</t>
  </si>
  <si>
    <t>(29384) 3+2+1+1</t>
  </si>
  <si>
    <t>(29384) 3+1+1+1+1</t>
  </si>
  <si>
    <t>(29384) 2+2+2+1</t>
  </si>
  <si>
    <t>(29384) 2+2+1+1+1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</si>
</sst>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FFC000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4" borderId="1" xfId="0" applyFill="1" applyBorder="1"/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1" fillId="5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</cellXfs>
  <cellStyles count="1">
    <cellStyle name="Normal" xfId="0" builtinId="0"/>
  </cellStyles>
  <dxfs count="11">
    <dxf>
      <fill>
        <patternFill>
          <bgColor rgb="FFFFFF00"/>
        </patternFill>
      </fill>
    </dxf>
    <dxf>
      <fill>
        <patternFill>
          <bgColor rgb="FFFFFFCC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35</xdr:col>
      <xdr:colOff>198120</xdr:colOff>
      <xdr:row>55</xdr:row>
      <xdr:rowOff>137160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636CE3C-2292-0354-C9D1-BF0EFFD73DDF}"/>
            </a:ext>
          </a:extLst>
        </xdr:cNvPr>
        <xdr:cNvSpPr/>
      </xdr:nvSpPr>
      <xdr:spPr>
        <a:xfrm>
          <a:off x="0" y="0"/>
          <a:ext cx="21534120" cy="1019556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1</xdr:col>
      <xdr:colOff>289560</xdr:colOff>
      <xdr:row>5</xdr:row>
      <xdr:rowOff>7620</xdr:rowOff>
    </xdr:from>
    <xdr:to>
      <xdr:col>14</xdr:col>
      <xdr:colOff>114300</xdr:colOff>
      <xdr:row>25</xdr:row>
      <xdr:rowOff>91440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F3636FE7-83E1-0371-F867-D0236C726334}"/>
            </a:ext>
          </a:extLst>
        </xdr:cNvPr>
        <xdr:cNvSpPr/>
      </xdr:nvSpPr>
      <xdr:spPr>
        <a:xfrm>
          <a:off x="899160" y="922020"/>
          <a:ext cx="7749540" cy="3741420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2400" kern="1200"/>
            <a:t>Projeto</a:t>
          </a:r>
          <a:r>
            <a:rPr lang="pt-BR" sz="2400" kern="1200" baseline="0"/>
            <a:t> de Análise Combinatória, desenvolvido em VBA para solucionar um problema de otimização logística.</a:t>
          </a:r>
        </a:p>
        <a:p>
          <a:pPr algn="l"/>
          <a:endParaRPr lang="pt-BR" sz="2400" kern="1200" baseline="0"/>
        </a:p>
        <a:p>
          <a:pPr algn="l"/>
          <a:r>
            <a:rPr lang="pt-BR" sz="2400" kern="1200" baseline="0"/>
            <a:t>Desenvolvido por: Carlos Antonio</a:t>
          </a:r>
        </a:p>
        <a:p>
          <a:pPr algn="l"/>
          <a:endParaRPr lang="pt-BR" sz="2400" kern="1200" baseline="0"/>
        </a:p>
        <a:p>
          <a:pPr algn="l"/>
          <a:r>
            <a:rPr lang="pt-BR" sz="2400" kern="1200" baseline="0"/>
            <a:t>GitHub: https://github.com/CarlosEX</a:t>
          </a:r>
        </a:p>
        <a:p>
          <a:pPr algn="l"/>
          <a:r>
            <a:rPr lang="pt-BR" sz="2400" kern="1200" baseline="0"/>
            <a:t>Linkedin: </a:t>
          </a:r>
          <a:r>
            <a:rPr lang="pt-BR" sz="2400">
              <a:hlinkClick xmlns:r="http://schemas.openxmlformats.org/officeDocument/2006/relationships" r:id=""/>
            </a:rPr>
            <a:t>(1) Carlos Antonio | LinkedIn</a:t>
          </a:r>
          <a:endParaRPr lang="pt-BR" sz="2400" kern="1200" baseline="0"/>
        </a:p>
        <a:p>
          <a:pPr algn="l"/>
          <a:r>
            <a:rPr lang="pt-BR" sz="2400" kern="1200" baseline="0"/>
            <a:t>Portfólio: </a:t>
          </a:r>
          <a:r>
            <a:rPr lang="pt-BR" sz="2400">
              <a:hlinkClick xmlns:r="http://schemas.openxmlformats.org/officeDocument/2006/relationships" r:id=""/>
            </a:rPr>
            <a:t>Carlos Antonio · Streamlit</a:t>
          </a:r>
          <a:endParaRPr lang="pt-BR" sz="2400" kern="1200" baseline="0"/>
        </a:p>
        <a:p>
          <a:pPr algn="l"/>
          <a:endParaRPr lang="pt-BR" sz="1100" kern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136071</xdr:colOff>
      <xdr:row>0</xdr:row>
      <xdr:rowOff>76199</xdr:rowOff>
    </xdr:from>
    <xdr:to>
      <xdr:col>14</xdr:col>
      <xdr:colOff>593271</xdr:colOff>
      <xdr:row>20</xdr:row>
      <xdr:rowOff>21770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1A6948B5-FE49-C365-E143-04E522C8098F}"/>
            </a:ext>
          </a:extLst>
        </xdr:cNvPr>
        <xdr:cNvGrpSpPr/>
      </xdr:nvGrpSpPr>
      <xdr:grpSpPr>
        <a:xfrm>
          <a:off x="4615542" y="76199"/>
          <a:ext cx="4724400" cy="3646714"/>
          <a:chOff x="4593771" y="70756"/>
          <a:chExt cx="4724400" cy="3646714"/>
        </a:xfrm>
      </xdr:grpSpPr>
      <xdr:sp macro="" textlink="">
        <xdr:nvSpPr>
          <xdr:cNvPr id="2" name="Retângulo 1">
            <a:extLst>
              <a:ext uri="{FF2B5EF4-FFF2-40B4-BE49-F238E27FC236}">
                <a16:creationId xmlns:a16="http://schemas.microsoft.com/office/drawing/2014/main" id="{B3CBE9C9-4641-48C9-B514-5FDA98435486}"/>
              </a:ext>
            </a:extLst>
          </xdr:cNvPr>
          <xdr:cNvSpPr/>
        </xdr:nvSpPr>
        <xdr:spPr>
          <a:xfrm>
            <a:off x="4593771" y="70756"/>
            <a:ext cx="4724400" cy="3646714"/>
          </a:xfrm>
          <a:prstGeom prst="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 b="0" i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Solução</a:t>
            </a:r>
            <a:r>
              <a:rPr lang="pt-BR" sz="1100" b="0" i="0" baseline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 com SOLVER</a:t>
            </a:r>
            <a:endParaRPr lang="pt-BR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endParaRPr>
          </a:p>
          <a:p>
            <a:pPr algn="l"/>
            <a:endParaRPr lang="pt-BR" sz="1100"/>
          </a:p>
          <a:p>
            <a:pPr algn="l"/>
            <a:r>
              <a:rPr lang="pt-BR" sz="1100"/>
              <a:t>Para</a:t>
            </a:r>
            <a:r>
              <a:rPr lang="pt-BR" sz="1100" baseline="0"/>
              <a:t> os parâmetros do solver utilizado, ele acaba que realizando a modelagem inicialmente com os valores menores. Isso pode impactar no itens com valores maiores que poderiam ser compostos como os valores menores (9+1...)</a:t>
            </a:r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48F81A1E-F107-353E-EDE0-CAA35EE1FAE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4691744" y="1279071"/>
            <a:ext cx="1604577" cy="2405102"/>
          </a:xfrm>
          <a:prstGeom prst="rect">
            <a:avLst/>
          </a:prstGeom>
        </xdr:spPr>
      </xdr:pic>
      <xdr:pic>
        <xdr:nvPicPr>
          <xdr:cNvPr id="5" name="Imagem 4">
            <a:extLst>
              <a:ext uri="{FF2B5EF4-FFF2-40B4-BE49-F238E27FC236}">
                <a16:creationId xmlns:a16="http://schemas.microsoft.com/office/drawing/2014/main" id="{70DABE60-A649-C9D0-EAD0-48162E95DF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428017" y="1017813"/>
            <a:ext cx="2803942" cy="264382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315685</xdr:colOff>
      <xdr:row>0</xdr:row>
      <xdr:rowOff>48986</xdr:rowOff>
    </xdr:from>
    <xdr:to>
      <xdr:col>10</xdr:col>
      <xdr:colOff>527956</xdr:colOff>
      <xdr:row>18</xdr:row>
      <xdr:rowOff>179614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5695FAFD-E014-4A33-ABE4-F258B9C5F6D7}"/>
            </a:ext>
          </a:extLst>
        </xdr:cNvPr>
        <xdr:cNvSpPr/>
      </xdr:nvSpPr>
      <xdr:spPr>
        <a:xfrm>
          <a:off x="2754085" y="48986"/>
          <a:ext cx="4479471" cy="360534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Algorimo</a:t>
          </a:r>
          <a:r>
            <a:rPr lang="pt-BR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BacktrackExactMatchAnalyzer.</a:t>
          </a:r>
        </a:p>
        <a:p>
          <a:pPr algn="l"/>
          <a:endParaRPr lang="pt-BR" sz="1100"/>
        </a:p>
        <a:p>
          <a:pPr algn="l"/>
          <a:r>
            <a:rPr lang="pt-BR" sz="1100"/>
            <a:t>Esse</a:t>
          </a:r>
          <a:r>
            <a:rPr lang="pt-BR" sz="1100" baseline="0"/>
            <a:t> algoritmo procurar por mercadorias, cuja quantiade de gavetas solicitadas, são iguais a quantidade de gavetas disponíveis por bandeja.</a:t>
          </a:r>
          <a:endParaRPr lang="pt-BR" sz="1100"/>
        </a:p>
      </xdr:txBody>
    </xdr:sp>
    <xdr:clientData/>
  </xdr:twoCellAnchor>
  <xdr:twoCellAnchor>
    <xdr:from>
      <xdr:col>10</xdr:col>
      <xdr:colOff>593271</xdr:colOff>
      <xdr:row>0</xdr:row>
      <xdr:rowOff>48985</xdr:rowOff>
    </xdr:from>
    <xdr:to>
      <xdr:col>15</xdr:col>
      <xdr:colOff>201384</xdr:colOff>
      <xdr:row>18</xdr:row>
      <xdr:rowOff>174171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895D738D-12F3-4BBF-8AB6-11EB28494E5A}"/>
            </a:ext>
          </a:extLst>
        </xdr:cNvPr>
        <xdr:cNvSpPr/>
      </xdr:nvSpPr>
      <xdr:spPr>
        <a:xfrm>
          <a:off x="7298871" y="48985"/>
          <a:ext cx="2656113" cy="3599906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Meta (M): 10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Algoritmo: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Percorra a lista de valores V=(v1,v2,...,vn)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Para cada valor vi na lista:</a:t>
          </a:r>
        </a:p>
        <a:p>
          <a:pPr lvl="1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 vi=M:</a:t>
          </a:r>
        </a:p>
        <a:p>
          <a:pPr lvl="2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Marcar vi com "X"</a:t>
          </a:r>
        </a:p>
        <a:p>
          <a:pPr lvl="2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Remover vi da lista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Notação: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Para cada vi∈V:</a:t>
          </a:r>
        </a:p>
        <a:p>
          <a:pPr lvl="1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 vi=M:</a:t>
          </a:r>
        </a:p>
        <a:p>
          <a:pPr lvl="2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Marque vi como X</a:t>
          </a:r>
        </a:p>
        <a:p>
          <a:pPr lvl="2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Remova vi de V</a:t>
          </a:r>
        </a:p>
        <a:p>
          <a:br>
            <a:rPr lang="pt-BR"/>
          </a:br>
          <a:b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</a:br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320040</xdr:colOff>
          <xdr:row>5</xdr:row>
          <xdr:rowOff>7620</xdr:rowOff>
        </xdr:from>
        <xdr:to>
          <xdr:col>10</xdr:col>
          <xdr:colOff>426720</xdr:colOff>
          <xdr:row>7</xdr:row>
          <xdr:rowOff>53340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386966</xdr:colOff>
      <xdr:row>4</xdr:row>
      <xdr:rowOff>97971</xdr:rowOff>
    </xdr:from>
    <xdr:to>
      <xdr:col>6</xdr:col>
      <xdr:colOff>254198</xdr:colOff>
      <xdr:row>18</xdr:row>
      <xdr:rowOff>83184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7514A16B-2286-F7ED-3477-E81CE4311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25366" y="838200"/>
          <a:ext cx="1696032" cy="2576013"/>
        </a:xfrm>
        <a:prstGeom prst="rect">
          <a:avLst/>
        </a:prstGeom>
      </xdr:spPr>
    </xdr:pic>
    <xdr:clientData/>
  </xdr:twoCellAnchor>
  <xdr:twoCellAnchor editAs="absolute">
    <xdr:from>
      <xdr:col>8</xdr:col>
      <xdr:colOff>272143</xdr:colOff>
      <xdr:row>9</xdr:row>
      <xdr:rowOff>27214</xdr:rowOff>
    </xdr:from>
    <xdr:to>
      <xdr:col>10</xdr:col>
      <xdr:colOff>402771</xdr:colOff>
      <xdr:row>11</xdr:row>
      <xdr:rowOff>10886</xdr:rowOff>
    </xdr:to>
    <xdr:sp macro="[0]!OpenModulo1" textlink="">
      <xdr:nvSpPr>
        <xdr:cNvPr id="9" name="Retângulo 8">
          <a:extLst>
            <a:ext uri="{FF2B5EF4-FFF2-40B4-BE49-F238E27FC236}">
              <a16:creationId xmlns:a16="http://schemas.microsoft.com/office/drawing/2014/main" id="{28335668-3A4C-467A-BD5C-E88A21F0244A}"/>
            </a:ext>
          </a:extLst>
        </xdr:cNvPr>
        <xdr:cNvSpPr/>
      </xdr:nvSpPr>
      <xdr:spPr>
        <a:xfrm>
          <a:off x="5758543" y="1692728"/>
          <a:ext cx="1349828" cy="353787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ABRIR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315685</xdr:colOff>
      <xdr:row>0</xdr:row>
      <xdr:rowOff>48986</xdr:rowOff>
    </xdr:from>
    <xdr:to>
      <xdr:col>10</xdr:col>
      <xdr:colOff>527956</xdr:colOff>
      <xdr:row>19</xdr:row>
      <xdr:rowOff>130628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85EB6ADB-590E-573F-3E11-6F4AD347D0AD}"/>
            </a:ext>
          </a:extLst>
        </xdr:cNvPr>
        <xdr:cNvSpPr/>
      </xdr:nvSpPr>
      <xdr:spPr>
        <a:xfrm>
          <a:off x="2754085" y="48986"/>
          <a:ext cx="4479471" cy="359772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Algorimo</a:t>
          </a:r>
          <a:r>
            <a:rPr lang="pt-BR" sz="1100" baseline="0"/>
            <a:t> de </a:t>
          </a:r>
          <a:r>
            <a:rPr lang="pt-BR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backtracking (BacktrackAnalyzerMetaPair).</a:t>
          </a:r>
        </a:p>
        <a:p>
          <a:pPr algn="l"/>
          <a:endParaRPr lang="pt-BR" sz="1100"/>
        </a:p>
        <a:p>
          <a:pPr algn="l"/>
          <a:r>
            <a:rPr lang="pt-BR" sz="1100"/>
            <a:t>Esse algoritmo faz a composição de produtos que juntos</a:t>
          </a:r>
          <a:r>
            <a:rPr lang="pt-BR" sz="1100" baseline="0"/>
            <a:t> completam a quantidade de gavetas. Começa do início e faz a análise de baixo para cima.</a:t>
          </a:r>
        </a:p>
        <a:p>
          <a:pPr algn="l"/>
          <a:r>
            <a:rPr lang="pt-BR" sz="1100" baseline="0"/>
            <a:t>No exemplo acima, o item 313653 possui 7 gavetas, a meta é 3. Então ele deve procurar itens com 3 bandejas. Nesse caso, o primeiro item que atende o critério é o 8788.</a:t>
          </a:r>
          <a:endParaRPr lang="pt-BR" sz="1100"/>
        </a:p>
      </xdr:txBody>
    </xdr:sp>
    <xdr:clientData/>
  </xdr:twoCellAnchor>
  <xdr:twoCellAnchor editAs="absolute">
    <xdr:from>
      <xdr:col>3</xdr:col>
      <xdr:colOff>400866</xdr:colOff>
      <xdr:row>7</xdr:row>
      <xdr:rowOff>31614</xdr:rowOff>
    </xdr:from>
    <xdr:to>
      <xdr:col>5</xdr:col>
      <xdr:colOff>600172</xdr:colOff>
      <xdr:row>19</xdr:row>
      <xdr:rowOff>16327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496308F4-87A7-56C5-BF6E-9BAE8FFFCD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39266" y="1327014"/>
          <a:ext cx="1418506" cy="2205399"/>
        </a:xfrm>
        <a:prstGeom prst="rect">
          <a:avLst/>
        </a:prstGeom>
      </xdr:spPr>
    </xdr:pic>
    <xdr:clientData/>
  </xdr:twoCellAnchor>
  <xdr:twoCellAnchor editAs="absolute">
    <xdr:from>
      <xdr:col>10</xdr:col>
      <xdr:colOff>593271</xdr:colOff>
      <xdr:row>0</xdr:row>
      <xdr:rowOff>48985</xdr:rowOff>
    </xdr:from>
    <xdr:to>
      <xdr:col>15</xdr:col>
      <xdr:colOff>201384</xdr:colOff>
      <xdr:row>19</xdr:row>
      <xdr:rowOff>130629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3F84DBF2-872C-8D4A-E35B-E8C663FCAAE6}"/>
            </a:ext>
          </a:extLst>
        </xdr:cNvPr>
        <xdr:cNvSpPr/>
      </xdr:nvSpPr>
      <xdr:spPr>
        <a:xfrm>
          <a:off x="7298871" y="48985"/>
          <a:ext cx="2656113" cy="359773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pt-BR">
              <a:effectLst/>
            </a:rPr>
            <a:t>Meta (M): 10</a:t>
          </a:r>
        </a:p>
        <a:p>
          <a:r>
            <a:rPr lang="pt-BR">
              <a:effectLst/>
            </a:rPr>
            <a:t>Delta (</a:t>
          </a:r>
          <a:r>
            <a:rPr lang="el-GR">
              <a:effectLst/>
            </a:rPr>
            <a:t>Δ): 7</a:t>
          </a:r>
        </a:p>
        <a:p>
          <a:r>
            <a:rPr lang="pt-BR">
              <a:effectLst/>
            </a:rPr>
            <a:t>Alvos (A): (M−</a:t>
          </a:r>
          <a:r>
            <a:rPr lang="el-GR">
              <a:effectLst/>
            </a:rPr>
            <a:t>Δ)</a:t>
          </a:r>
          <a:endParaRPr lang="pt-BR">
            <a:effectLst/>
          </a:endParaRPr>
        </a:p>
        <a:p>
          <a:endParaRPr lang="el-GR">
            <a:effectLst/>
          </a:endParaRPr>
        </a:p>
        <a:p>
          <a:r>
            <a:rPr lang="pt-BR">
              <a:effectLst/>
            </a:rPr>
            <a:t>Algoritmo:</a:t>
          </a:r>
        </a:p>
        <a:p>
          <a:endParaRPr lang="pt-BR">
            <a:effectLst/>
          </a:endParaRPr>
        </a:p>
        <a:p>
          <a:r>
            <a:rPr lang="pt-BR">
              <a:effectLst/>
            </a:rPr>
            <a:t>Inicialize a soma S com o primeiro valor da </a:t>
          </a:r>
        </a:p>
        <a:p>
          <a:r>
            <a:rPr lang="pt-BR">
              <a:effectLst/>
            </a:rPr>
            <a:t>lista: S=</a:t>
          </a:r>
          <a:r>
            <a:rPr lang="el-GR">
              <a:effectLst/>
            </a:rPr>
            <a:t>Δ</a:t>
          </a:r>
        </a:p>
        <a:p>
          <a:r>
            <a:rPr lang="pt-BR">
              <a:effectLst/>
            </a:rPr>
            <a:t>Para cada valor v na lista, de trás para frente: a. S=S+v b. Se S=M, marque os valores combinados. c. Se S&gt;M, remova o valor v da soma (S=S−v) e continue para o próximo valor.</a:t>
          </a:r>
        </a:p>
        <a:p>
          <a:r>
            <a:rPr lang="pt-BR">
              <a:effectLst/>
            </a:rPr>
            <a:t>Resumindo em notação:</a:t>
          </a:r>
        </a:p>
        <a:p>
          <a:r>
            <a:rPr lang="pt-BR">
              <a:effectLst/>
            </a:rPr>
            <a:t>S←</a:t>
          </a:r>
          <a:r>
            <a:rPr lang="el-GR">
              <a:effectLst/>
            </a:rPr>
            <a:t>Δ</a:t>
          </a:r>
        </a:p>
        <a:p>
          <a:r>
            <a:rPr lang="pt-BR">
              <a:effectLst/>
            </a:rPr>
            <a:t>Para cada vi na lista V, de Vlen(V) a V1:</a:t>
          </a:r>
        </a:p>
        <a:p>
          <a:pPr lvl="1"/>
          <a:r>
            <a:rPr lang="pt-BR">
              <a:effectLst/>
            </a:rPr>
            <a:t>S=S+vi</a:t>
          </a:r>
        </a:p>
        <a:p>
          <a:pPr lvl="1"/>
          <a:r>
            <a:rPr lang="pt-BR">
              <a:effectLst/>
            </a:rPr>
            <a:t>Se S=M:</a:t>
          </a:r>
        </a:p>
        <a:p>
          <a:pPr lvl="2"/>
          <a:r>
            <a:rPr lang="pt-BR">
              <a:effectLst/>
            </a:rPr>
            <a:t>Marque os valores (vi) e remova-os da lista</a:t>
          </a:r>
        </a:p>
        <a:p>
          <a:pPr lvl="1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Senão, se S&gt;M:</a:t>
          </a:r>
        </a:p>
        <a:p>
          <a:b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</a:br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388620</xdr:colOff>
          <xdr:row>8</xdr:row>
          <xdr:rowOff>83820</xdr:rowOff>
        </xdr:from>
        <xdr:to>
          <xdr:col>8</xdr:col>
          <xdr:colOff>495300</xdr:colOff>
          <xdr:row>10</xdr:row>
          <xdr:rowOff>129540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6</xdr:col>
      <xdr:colOff>370115</xdr:colOff>
      <xdr:row>11</xdr:row>
      <xdr:rowOff>114298</xdr:rowOff>
    </xdr:from>
    <xdr:to>
      <xdr:col>8</xdr:col>
      <xdr:colOff>500743</xdr:colOff>
      <xdr:row>13</xdr:row>
      <xdr:rowOff>97971</xdr:rowOff>
    </xdr:to>
    <xdr:sp macro="[0]!OpenModulo2" textlink="">
      <xdr:nvSpPr>
        <xdr:cNvPr id="4" name="Retângulo 3">
          <a:extLst>
            <a:ext uri="{FF2B5EF4-FFF2-40B4-BE49-F238E27FC236}">
              <a16:creationId xmlns:a16="http://schemas.microsoft.com/office/drawing/2014/main" id="{4DCC951C-404B-33CC-F85D-D209E2F139CE}"/>
            </a:ext>
          </a:extLst>
        </xdr:cNvPr>
        <xdr:cNvSpPr/>
      </xdr:nvSpPr>
      <xdr:spPr>
        <a:xfrm>
          <a:off x="4637315" y="2149927"/>
          <a:ext cx="1349828" cy="353787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ABRIR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299358</xdr:colOff>
      <xdr:row>0</xdr:row>
      <xdr:rowOff>130630</xdr:rowOff>
    </xdr:from>
    <xdr:to>
      <xdr:col>10</xdr:col>
      <xdr:colOff>511629</xdr:colOff>
      <xdr:row>20</xdr:row>
      <xdr:rowOff>27215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3095DCE2-239D-4067-81B7-549AEAA5B664}"/>
            </a:ext>
          </a:extLst>
        </xdr:cNvPr>
        <xdr:cNvSpPr/>
      </xdr:nvSpPr>
      <xdr:spPr>
        <a:xfrm>
          <a:off x="2737758" y="130630"/>
          <a:ext cx="4479471" cy="359772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Algorimo</a:t>
          </a:r>
          <a:r>
            <a:rPr lang="pt-BR" sz="1100" baseline="0"/>
            <a:t> de </a:t>
          </a:r>
          <a:r>
            <a:rPr lang="pt-BR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backtracking (BacktrackAnalyzerSolverCombination).</a:t>
          </a:r>
        </a:p>
        <a:p>
          <a:pPr algn="l"/>
          <a:endParaRPr lang="pt-BR" sz="1100"/>
        </a:p>
        <a:p>
          <a:pPr algn="l"/>
          <a:r>
            <a:rPr lang="pt-BR" sz="1100"/>
            <a:t>Esse algoritmo realiza a</a:t>
          </a:r>
          <a:r>
            <a:rPr lang="pt-BR" sz="1100" baseline="0"/>
            <a:t> soma acumlada para chegar em um objetivo em comum. Iniciando com o primeiro elemento da lista, e fazendo um loop inverso de baixo pra cima. Ele vai acumulando os valores do segundo loop, somando com o elemento do primeiro até chegar no valor ideal.</a:t>
          </a:r>
          <a:endParaRPr lang="pt-BR" sz="1100"/>
        </a:p>
      </xdr:txBody>
    </xdr:sp>
    <xdr:clientData/>
  </xdr:twoCellAnchor>
  <xdr:twoCellAnchor editAs="absolute">
    <xdr:from>
      <xdr:col>10</xdr:col>
      <xdr:colOff>576944</xdr:colOff>
      <xdr:row>0</xdr:row>
      <xdr:rowOff>130629</xdr:rowOff>
    </xdr:from>
    <xdr:to>
      <xdr:col>15</xdr:col>
      <xdr:colOff>185057</xdr:colOff>
      <xdr:row>20</xdr:row>
      <xdr:rowOff>27216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D09008AF-D1D7-41C1-9C63-BB49A840B216}"/>
            </a:ext>
          </a:extLst>
        </xdr:cNvPr>
        <xdr:cNvSpPr/>
      </xdr:nvSpPr>
      <xdr:spPr>
        <a:xfrm>
          <a:off x="7282544" y="130629"/>
          <a:ext cx="2656113" cy="359773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pt-BR"/>
            <a:t>Meta (Z): valor desejado</a:t>
          </a:r>
        </a:p>
        <a:p>
          <a:endParaRPr lang="pt-BR"/>
        </a:p>
        <a:p>
          <a:r>
            <a:rPr lang="pt-BR"/>
            <a:t>Algoritmo:</a:t>
          </a:r>
        </a:p>
        <a:p>
          <a:endParaRPr lang="pt-BR"/>
        </a:p>
        <a:p>
          <a:r>
            <a:rPr lang="pt-BR"/>
            <a:t>Percorra a lista de valores L={a1,a2,…,an}L = \{a_1, a_2, \ldots, a_n\}</a:t>
          </a:r>
        </a:p>
        <a:p>
          <a:r>
            <a:rPr lang="pt-BR"/>
            <a:t>Inicialize a soma acumulada SS com o valor XX</a:t>
          </a:r>
        </a:p>
        <a:p>
          <a:r>
            <a:rPr lang="pt-BR"/>
            <a:t>Para cada valor aia_i na lista:</a:t>
          </a:r>
        </a:p>
        <a:p>
          <a:pPr lvl="1"/>
          <a:r>
            <a:rPr lang="pt-BR"/>
            <a:t>S=S+aiS = S + a_i</a:t>
          </a:r>
        </a:p>
        <a:p>
          <a:pPr lvl="1"/>
          <a:r>
            <a:rPr lang="pt-BR"/>
            <a:t>Se S≥ZS \geq Z:</a:t>
          </a:r>
        </a:p>
        <a:p>
          <a:pPr lvl="2"/>
          <a:r>
            <a:rPr lang="pt-BR"/>
            <a:t>Pare o algoritmo</a:t>
          </a:r>
        </a:p>
        <a:p>
          <a:r>
            <a:rPr lang="pt-BR"/>
            <a:t>Notação:</a:t>
          </a:r>
        </a:p>
        <a:p>
          <a:r>
            <a:rPr lang="pt-BR"/>
            <a:t>S=XS = X</a:t>
          </a:r>
        </a:p>
        <a:p>
          <a:r>
            <a:rPr lang="pt-BR"/>
            <a:t>Para cada ai∈La_i \in L:</a:t>
          </a:r>
        </a:p>
        <a:p>
          <a:pPr lvl="1"/>
          <a:r>
            <a:rPr lang="pt-BR"/>
            <a:t>S=S+aiS = S + a_i</a:t>
          </a:r>
        </a:p>
        <a:p>
          <a:pPr lvl="1"/>
          <a:r>
            <a:rPr lang="pt-BR"/>
            <a:t>Se S≥ZS \geq Z:</a:t>
          </a:r>
        </a:p>
        <a:p>
          <a:pPr lvl="2"/>
          <a:r>
            <a:rPr lang="pt-BR"/>
            <a:t>Pare</a:t>
          </a:r>
        </a:p>
        <a:p>
          <a:b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</a:br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373380</xdr:colOff>
          <xdr:row>8</xdr:row>
          <xdr:rowOff>160020</xdr:rowOff>
        </xdr:from>
        <xdr:to>
          <xdr:col>8</xdr:col>
          <xdr:colOff>480060</xdr:colOff>
          <xdr:row>11</xdr:row>
          <xdr:rowOff>22860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6</xdr:col>
      <xdr:colOff>353788</xdr:colOff>
      <xdr:row>12</xdr:row>
      <xdr:rowOff>10885</xdr:rowOff>
    </xdr:from>
    <xdr:to>
      <xdr:col>8</xdr:col>
      <xdr:colOff>484416</xdr:colOff>
      <xdr:row>13</xdr:row>
      <xdr:rowOff>179615</xdr:rowOff>
    </xdr:to>
    <xdr:sp macro="[0]!OpenModulo3" textlink="">
      <xdr:nvSpPr>
        <xdr:cNvPr id="5" name="Retângulo 4">
          <a:extLst>
            <a:ext uri="{FF2B5EF4-FFF2-40B4-BE49-F238E27FC236}">
              <a16:creationId xmlns:a16="http://schemas.microsoft.com/office/drawing/2014/main" id="{A3C1488D-74F0-43CE-A6BB-1C580B5EB39F}"/>
            </a:ext>
          </a:extLst>
        </xdr:cNvPr>
        <xdr:cNvSpPr/>
      </xdr:nvSpPr>
      <xdr:spPr>
        <a:xfrm>
          <a:off x="4620988" y="2231571"/>
          <a:ext cx="1349828" cy="353787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ABRIR</a:t>
          </a:r>
        </a:p>
      </xdr:txBody>
    </xdr:sp>
    <xdr:clientData/>
  </xdr:twoCellAnchor>
  <xdr:twoCellAnchor editAs="oneCell">
    <xdr:from>
      <xdr:col>3</xdr:col>
      <xdr:colOff>392845</xdr:colOff>
      <xdr:row>6</xdr:row>
      <xdr:rowOff>125186</xdr:rowOff>
    </xdr:from>
    <xdr:to>
      <xdr:col>6</xdr:col>
      <xdr:colOff>146957</xdr:colOff>
      <xdr:row>19</xdr:row>
      <xdr:rowOff>119523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F9BA0981-69ED-D5AA-C9FA-E1A3778ED2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1245" y="1235529"/>
          <a:ext cx="1582912" cy="24000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587829</xdr:colOff>
      <xdr:row>0</xdr:row>
      <xdr:rowOff>146955</xdr:rowOff>
    </xdr:from>
    <xdr:to>
      <xdr:col>15</xdr:col>
      <xdr:colOff>163693</xdr:colOff>
      <xdr:row>20</xdr:row>
      <xdr:rowOff>5443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E913D7BF-B224-560E-C189-F1D34CDB28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93429" y="146955"/>
          <a:ext cx="2623864" cy="355963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182880</xdr:colOff>
          <xdr:row>3</xdr:row>
          <xdr:rowOff>76200</xdr:rowOff>
        </xdr:from>
        <xdr:to>
          <xdr:col>5</xdr:col>
          <xdr:colOff>304800</xdr:colOff>
          <xdr:row>5</xdr:row>
          <xdr:rowOff>129540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5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3</xdr:col>
      <xdr:colOff>175260</xdr:colOff>
      <xdr:row>6</xdr:row>
      <xdr:rowOff>25036</xdr:rowOff>
    </xdr:from>
    <xdr:to>
      <xdr:col>5</xdr:col>
      <xdr:colOff>290648</xdr:colOff>
      <xdr:row>8</xdr:row>
      <xdr:rowOff>13063</xdr:rowOff>
    </xdr:to>
    <xdr:sp macro="[0]!OpenAnaliseCombinatoria" textlink="">
      <xdr:nvSpPr>
        <xdr:cNvPr id="2" name="Retângulo 1">
          <a:extLst>
            <a:ext uri="{FF2B5EF4-FFF2-40B4-BE49-F238E27FC236}">
              <a16:creationId xmlns:a16="http://schemas.microsoft.com/office/drawing/2014/main" id="{FCC0ABFA-0D3E-4344-AE2C-D3B299C033DA}"/>
            </a:ext>
          </a:extLst>
        </xdr:cNvPr>
        <xdr:cNvSpPr/>
      </xdr:nvSpPr>
      <xdr:spPr>
        <a:xfrm>
          <a:off x="2560320" y="1488076"/>
          <a:ext cx="1349828" cy="353787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ABRIR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C1D73-A409-4FB9-B7D0-9BD977E89193}">
  <sheetPr codeName="Planilha2"/>
  <dimension ref="A1"/>
  <sheetViews>
    <sheetView topLeftCell="A2" workbookViewId="0"/>
  </sheetViews>
  <sheetFormatPr defaultRowHeight="14.4" x14ac:dyDescent="0.3"/>
  <sheetData/>
  <sheetProtection algorithmName="SHA-512" hashValue="oIDvyPMs/NWynFz2ssAUPBcqMsVspt84EnanGdSSQwrFkoKFsolA/DjbipGb/i0+VBBaX92PO6I5Uem5ZiDe2w==" saltValue="s2aiG6b17SvtY0b2AZ8wsQ==" spinCount="100000" sheet="1" objects="1" scenarios="1" selectLockedCells="1" selectUnlockedCells="1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10215-4292-4FEF-B46F-A3D8B6441F6A}">
  <sheetPr codeName="Planilha5"/>
  <dimension ref="A1:G20"/>
  <sheetViews>
    <sheetView showGridLines="0" zoomScale="140" zoomScaleNormal="140" workbookViewId="0">
      <selection activeCell="F11" sqref="F11"/>
    </sheetView>
  </sheetViews>
  <sheetFormatPr defaultColWidth="8.88671875" defaultRowHeight="14.4" x14ac:dyDescent="0.3"/>
  <cols>
    <col min="1" max="1" width="12.21875" bestFit="1" customWidth="1"/>
    <col min="2" max="2" width="14.44140625" bestFit="1" customWidth="1"/>
    <col min="3" max="3" width="10" customWidth="1"/>
    <col min="4" max="4" width="8.88671875" customWidth="1"/>
    <col min="5" max="5" width="2" customWidth="1"/>
  </cols>
  <sheetData>
    <row r="1" spans="1:7" x14ac:dyDescent="0.3">
      <c r="A1" s="2" t="s">
        <v>0</v>
      </c>
      <c r="B1" s="2" t="s">
        <v>1</v>
      </c>
      <c r="C1" s="2" t="s">
        <v>12</v>
      </c>
      <c r="D1" s="2" t="s">
        <v>2</v>
      </c>
    </row>
    <row r="2" spans="1:7" x14ac:dyDescent="0.3">
      <c r="A2" s="4">
        <v>313653</v>
      </c>
      <c r="B2" s="4">
        <v>7</v>
      </c>
      <c r="C2" s="4">
        <v>633</v>
      </c>
      <c r="D2" s="4"/>
      <c r="F2" s="7" t="s">
        <v>4</v>
      </c>
      <c r="G2" s="12">
        <f>SUM(D2:D20)</f>
        <v>0</v>
      </c>
    </row>
    <row r="3" spans="1:7" x14ac:dyDescent="0.3">
      <c r="A3" s="4">
        <v>421283</v>
      </c>
      <c r="B3" s="4">
        <v>9</v>
      </c>
      <c r="C3" s="4">
        <v>1307</v>
      </c>
      <c r="D3" s="4"/>
      <c r="F3" s="7" t="s">
        <v>13</v>
      </c>
      <c r="G3" s="12">
        <f>SUMPRODUCT(D2:D20,B2:B20)</f>
        <v>0</v>
      </c>
    </row>
    <row r="4" spans="1:7" x14ac:dyDescent="0.3">
      <c r="A4" s="4">
        <v>422905</v>
      </c>
      <c r="B4" s="4">
        <v>8</v>
      </c>
      <c r="C4" s="4">
        <v>331</v>
      </c>
      <c r="D4" s="4"/>
    </row>
    <row r="5" spans="1:7" x14ac:dyDescent="0.3">
      <c r="A5" s="4">
        <v>427649</v>
      </c>
      <c r="B5" s="4">
        <v>7</v>
      </c>
      <c r="C5" s="4">
        <v>556</v>
      </c>
      <c r="D5" s="4"/>
    </row>
    <row r="6" spans="1:7" x14ac:dyDescent="0.3">
      <c r="A6" s="4">
        <v>259829</v>
      </c>
      <c r="B6" s="4">
        <v>4</v>
      </c>
      <c r="C6" s="4">
        <v>1017</v>
      </c>
      <c r="D6" s="4"/>
    </row>
    <row r="7" spans="1:7" x14ac:dyDescent="0.3">
      <c r="A7" s="4">
        <v>339083</v>
      </c>
      <c r="B7" s="4">
        <v>2</v>
      </c>
      <c r="C7" s="4">
        <v>1870</v>
      </c>
      <c r="D7" s="4"/>
    </row>
    <row r="8" spans="1:7" x14ac:dyDescent="0.3">
      <c r="A8" s="4">
        <v>174513</v>
      </c>
      <c r="B8" s="4">
        <v>4</v>
      </c>
      <c r="C8" s="4">
        <v>1846</v>
      </c>
      <c r="D8" s="4"/>
    </row>
    <row r="9" spans="1:7" x14ac:dyDescent="0.3">
      <c r="A9" s="4">
        <v>306649</v>
      </c>
      <c r="B9" s="4">
        <v>3</v>
      </c>
      <c r="C9" s="4">
        <v>513</v>
      </c>
      <c r="D9" s="4"/>
    </row>
    <row r="10" spans="1:7" x14ac:dyDescent="0.3">
      <c r="A10" s="4">
        <v>305545</v>
      </c>
      <c r="B10" s="4">
        <v>2</v>
      </c>
      <c r="C10" s="4">
        <v>32</v>
      </c>
      <c r="D10" s="4"/>
    </row>
    <row r="11" spans="1:7" x14ac:dyDescent="0.3">
      <c r="A11" s="4">
        <v>171433</v>
      </c>
      <c r="B11" s="4">
        <v>2</v>
      </c>
      <c r="C11" s="4">
        <v>1786</v>
      </c>
      <c r="D11" s="4"/>
    </row>
    <row r="12" spans="1:7" x14ac:dyDescent="0.3">
      <c r="A12" s="4">
        <v>211028</v>
      </c>
      <c r="B12" s="4">
        <v>3</v>
      </c>
      <c r="C12" s="4">
        <v>469</v>
      </c>
      <c r="D12" s="4"/>
    </row>
    <row r="13" spans="1:7" x14ac:dyDescent="0.3">
      <c r="A13" s="4">
        <v>426995</v>
      </c>
      <c r="B13" s="4">
        <v>1</v>
      </c>
      <c r="C13" s="4">
        <v>459</v>
      </c>
      <c r="D13" s="4"/>
    </row>
    <row r="14" spans="1:7" x14ac:dyDescent="0.3">
      <c r="A14" s="4">
        <v>292176</v>
      </c>
      <c r="B14" s="4">
        <v>3</v>
      </c>
      <c r="C14" s="4">
        <v>1534</v>
      </c>
      <c r="D14" s="4"/>
    </row>
    <row r="15" spans="1:7" x14ac:dyDescent="0.3">
      <c r="A15" s="4">
        <v>420511</v>
      </c>
      <c r="B15" s="4">
        <v>2</v>
      </c>
      <c r="C15" s="4">
        <v>302</v>
      </c>
      <c r="D15" s="4"/>
    </row>
    <row r="16" spans="1:7" x14ac:dyDescent="0.3">
      <c r="A16" s="4">
        <v>179140</v>
      </c>
      <c r="B16" s="4">
        <v>1</v>
      </c>
      <c r="C16" s="4">
        <v>321</v>
      </c>
      <c r="D16" s="4"/>
    </row>
    <row r="17" spans="1:4" x14ac:dyDescent="0.3">
      <c r="A17" s="4">
        <v>8842</v>
      </c>
      <c r="B17" s="4">
        <v>1</v>
      </c>
      <c r="C17" s="4">
        <v>72</v>
      </c>
      <c r="D17" s="4"/>
    </row>
    <row r="18" spans="1:4" x14ac:dyDescent="0.3">
      <c r="A18" s="4">
        <v>8788</v>
      </c>
      <c r="B18" s="4">
        <v>3</v>
      </c>
      <c r="C18" s="4">
        <v>439</v>
      </c>
      <c r="D18" s="4"/>
    </row>
    <row r="19" spans="1:4" x14ac:dyDescent="0.3">
      <c r="A19" s="4">
        <v>305936</v>
      </c>
      <c r="B19" s="4">
        <v>1</v>
      </c>
      <c r="C19" s="4">
        <v>1638</v>
      </c>
      <c r="D19" s="4"/>
    </row>
    <row r="20" spans="1:4" x14ac:dyDescent="0.3">
      <c r="A20" s="4">
        <v>427830</v>
      </c>
      <c r="B20" s="4">
        <v>2</v>
      </c>
      <c r="C20" s="4">
        <v>300</v>
      </c>
      <c r="D20" s="4"/>
    </row>
  </sheetData>
  <conditionalFormatting sqref="A2:D19993">
    <cfRule type="expression" dxfId="8" priority="1">
      <formula>$D2=1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EAF8F-2245-4284-AE88-B73865B70173}">
  <sheetPr codeName="Planilha8"/>
  <dimension ref="A1:C20"/>
  <sheetViews>
    <sheetView showGridLines="0" zoomScale="140" zoomScaleNormal="140" workbookViewId="0">
      <selection activeCell="E23" sqref="E23"/>
    </sheetView>
  </sheetViews>
  <sheetFormatPr defaultColWidth="8.88671875" defaultRowHeight="14.4" x14ac:dyDescent="0.3"/>
  <cols>
    <col min="1" max="1" width="12.21875" bestFit="1" customWidth="1"/>
    <col min="2" max="2" width="14.44140625" bestFit="1" customWidth="1"/>
    <col min="3" max="3" width="8.88671875" customWidth="1"/>
  </cols>
  <sheetData>
    <row r="1" spans="1:3" x14ac:dyDescent="0.3">
      <c r="A1" s="2" t="s">
        <v>0</v>
      </c>
      <c r="B1" s="2" t="s">
        <v>1</v>
      </c>
      <c r="C1" s="2" t="s">
        <v>2</v>
      </c>
    </row>
    <row r="2" spans="1:3" x14ac:dyDescent="0.3">
      <c r="A2" s="5">
        <v>313653</v>
      </c>
      <c r="B2" s="5">
        <v>7</v>
      </c>
      <c r="C2" s="6"/>
    </row>
    <row r="3" spans="1:3" x14ac:dyDescent="0.3">
      <c r="A3" s="4">
        <v>421283</v>
      </c>
      <c r="B3" s="4">
        <v>9</v>
      </c>
      <c r="C3" s="3"/>
    </row>
    <row r="4" spans="1:3" x14ac:dyDescent="0.3">
      <c r="A4" s="4">
        <v>422905</v>
      </c>
      <c r="B4" s="4">
        <v>8</v>
      </c>
      <c r="C4" s="3"/>
    </row>
    <row r="5" spans="1:3" x14ac:dyDescent="0.3">
      <c r="A5" s="4">
        <v>427649</v>
      </c>
      <c r="B5" s="4">
        <v>7</v>
      </c>
      <c r="C5" s="3"/>
    </row>
    <row r="6" spans="1:3" x14ac:dyDescent="0.3">
      <c r="A6" s="4">
        <v>259829</v>
      </c>
      <c r="B6" s="4">
        <v>4</v>
      </c>
      <c r="C6" s="3"/>
    </row>
    <row r="7" spans="1:3" x14ac:dyDescent="0.3">
      <c r="A7" s="4">
        <v>339083</v>
      </c>
      <c r="B7" s="4">
        <v>2</v>
      </c>
      <c r="C7" s="3"/>
    </row>
    <row r="8" spans="1:3" x14ac:dyDescent="0.3">
      <c r="A8" s="4">
        <v>174513</v>
      </c>
      <c r="B8" s="4">
        <v>4</v>
      </c>
      <c r="C8" s="3"/>
    </row>
    <row r="9" spans="1:3" x14ac:dyDescent="0.3">
      <c r="A9" s="4">
        <v>306649</v>
      </c>
      <c r="B9" s="4">
        <v>3</v>
      </c>
      <c r="C9" s="3"/>
    </row>
    <row r="10" spans="1:3" x14ac:dyDescent="0.3">
      <c r="A10" s="4">
        <v>305545</v>
      </c>
      <c r="B10" s="4">
        <v>2</v>
      </c>
      <c r="C10" s="3"/>
    </row>
    <row r="11" spans="1:3" x14ac:dyDescent="0.3">
      <c r="A11" s="4">
        <v>171433</v>
      </c>
      <c r="B11" s="4">
        <v>2</v>
      </c>
      <c r="C11" s="3"/>
    </row>
    <row r="12" spans="1:3" x14ac:dyDescent="0.3">
      <c r="A12" s="4">
        <v>211028</v>
      </c>
      <c r="B12" s="4">
        <v>3</v>
      </c>
      <c r="C12" s="3"/>
    </row>
    <row r="13" spans="1:3" x14ac:dyDescent="0.3">
      <c r="A13" s="4">
        <v>426995</v>
      </c>
      <c r="B13" s="4">
        <v>1</v>
      </c>
      <c r="C13" s="3"/>
    </row>
    <row r="14" spans="1:3" x14ac:dyDescent="0.3">
      <c r="A14" s="4">
        <v>292176</v>
      </c>
      <c r="B14" s="4">
        <v>3</v>
      </c>
      <c r="C14" s="3"/>
    </row>
    <row r="15" spans="1:3" x14ac:dyDescent="0.3">
      <c r="A15" s="4">
        <v>420511</v>
      </c>
      <c r="B15" s="4">
        <v>2</v>
      </c>
      <c r="C15" s="3"/>
    </row>
    <row r="16" spans="1:3" x14ac:dyDescent="0.3">
      <c r="A16" s="4">
        <v>179140</v>
      </c>
      <c r="B16" s="4">
        <v>1</v>
      </c>
      <c r="C16" s="3"/>
    </row>
    <row r="17" spans="1:3" x14ac:dyDescent="0.3">
      <c r="A17" s="4">
        <v>8842</v>
      </c>
      <c r="B17" s="4">
        <v>1</v>
      </c>
      <c r="C17" s="3"/>
    </row>
    <row r="18" spans="1:3" x14ac:dyDescent="0.3">
      <c r="A18" s="5">
        <v>8788</v>
      </c>
      <c r="B18" s="5">
        <v>3</v>
      </c>
      <c r="C18" s="6"/>
    </row>
    <row r="19" spans="1:3" x14ac:dyDescent="0.3">
      <c r="A19" s="4">
        <v>305936</v>
      </c>
      <c r="B19" s="4">
        <v>1</v>
      </c>
      <c r="C19" s="3"/>
    </row>
    <row r="20" spans="1:3" x14ac:dyDescent="0.3">
      <c r="A20" s="4">
        <v>427830</v>
      </c>
      <c r="B20" s="4">
        <v>2</v>
      </c>
      <c r="C20" s="3"/>
    </row>
  </sheetData>
  <conditionalFormatting sqref="A21:C19992">
    <cfRule type="expression" dxfId="7" priority="3">
      <formula>$C21=1</formula>
    </cfRule>
  </conditionalFormatting>
  <conditionalFormatting sqref="A2:C20">
    <cfRule type="expression" dxfId="6" priority="1">
      <formula>$C2="X"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BacktrackExactMatchAnalyzer">
                <anchor moveWithCells="1" sizeWithCells="1">
                  <from>
                    <xdr:col>8</xdr:col>
                    <xdr:colOff>320040</xdr:colOff>
                    <xdr:row>5</xdr:row>
                    <xdr:rowOff>7620</xdr:rowOff>
                  </from>
                  <to>
                    <xdr:col>10</xdr:col>
                    <xdr:colOff>426720</xdr:colOff>
                    <xdr:row>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A4F78-0785-4AEF-8C78-01D5168D79DB}">
  <sheetPr codeName="Planilha6"/>
  <dimension ref="A1:C20"/>
  <sheetViews>
    <sheetView showGridLines="0" showRowColHeaders="0" zoomScale="140" zoomScaleNormal="140" workbookViewId="0">
      <selection activeCell="G23" sqref="G23"/>
    </sheetView>
  </sheetViews>
  <sheetFormatPr defaultColWidth="8.88671875" defaultRowHeight="14.4" x14ac:dyDescent="0.3"/>
  <cols>
    <col min="1" max="1" width="12.21875" bestFit="1" customWidth="1"/>
    <col min="2" max="2" width="14.44140625" bestFit="1" customWidth="1"/>
    <col min="3" max="3" width="8.88671875" customWidth="1"/>
  </cols>
  <sheetData>
    <row r="1" spans="1:3" x14ac:dyDescent="0.3">
      <c r="A1" s="2" t="s">
        <v>0</v>
      </c>
      <c r="B1" s="2" t="s">
        <v>1</v>
      </c>
      <c r="C1" s="2" t="s">
        <v>2</v>
      </c>
    </row>
    <row r="2" spans="1:3" x14ac:dyDescent="0.3">
      <c r="A2" s="5">
        <v>313653</v>
      </c>
      <c r="B2" s="5">
        <v>7</v>
      </c>
      <c r="C2" s="6"/>
    </row>
    <row r="3" spans="1:3" x14ac:dyDescent="0.3">
      <c r="A3" s="4">
        <v>421283</v>
      </c>
      <c r="B3" s="4">
        <v>9</v>
      </c>
      <c r="C3" s="3"/>
    </row>
    <row r="4" spans="1:3" x14ac:dyDescent="0.3">
      <c r="A4" s="4">
        <v>422905</v>
      </c>
      <c r="B4" s="4">
        <v>8</v>
      </c>
      <c r="C4" s="3"/>
    </row>
    <row r="5" spans="1:3" x14ac:dyDescent="0.3">
      <c r="A5" s="4">
        <v>427649</v>
      </c>
      <c r="B5" s="4">
        <v>7</v>
      </c>
      <c r="C5" s="3"/>
    </row>
    <row r="6" spans="1:3" x14ac:dyDescent="0.3">
      <c r="A6" s="4">
        <v>259829</v>
      </c>
      <c r="B6" s="4">
        <v>4</v>
      </c>
      <c r="C6" s="3"/>
    </row>
    <row r="7" spans="1:3" x14ac:dyDescent="0.3">
      <c r="A7" s="4">
        <v>339083</v>
      </c>
      <c r="B7" s="4">
        <v>2</v>
      </c>
      <c r="C7" s="3"/>
    </row>
    <row r="8" spans="1:3" x14ac:dyDescent="0.3">
      <c r="A8" s="4">
        <v>174513</v>
      </c>
      <c r="B8" s="4">
        <v>4</v>
      </c>
      <c r="C8" s="3"/>
    </row>
    <row r="9" spans="1:3" x14ac:dyDescent="0.3">
      <c r="A9" s="4">
        <v>306649</v>
      </c>
      <c r="B9" s="4">
        <v>3</v>
      </c>
      <c r="C9" s="3"/>
    </row>
    <row r="10" spans="1:3" x14ac:dyDescent="0.3">
      <c r="A10" s="4">
        <v>305545</v>
      </c>
      <c r="B10" s="4">
        <v>2</v>
      </c>
      <c r="C10" s="3"/>
    </row>
    <row r="11" spans="1:3" x14ac:dyDescent="0.3">
      <c r="A11" s="4">
        <v>171433</v>
      </c>
      <c r="B11" s="4">
        <v>2</v>
      </c>
      <c r="C11" s="3"/>
    </row>
    <row r="12" spans="1:3" x14ac:dyDescent="0.3">
      <c r="A12" s="4">
        <v>211028</v>
      </c>
      <c r="B12" s="4">
        <v>3</v>
      </c>
      <c r="C12" s="3"/>
    </row>
    <row r="13" spans="1:3" x14ac:dyDescent="0.3">
      <c r="A13" s="4">
        <v>426995</v>
      </c>
      <c r="B13" s="4">
        <v>1</v>
      </c>
      <c r="C13" s="3"/>
    </row>
    <row r="14" spans="1:3" x14ac:dyDescent="0.3">
      <c r="A14" s="4">
        <v>292176</v>
      </c>
      <c r="B14" s="4">
        <v>3</v>
      </c>
      <c r="C14" s="3"/>
    </row>
    <row r="15" spans="1:3" x14ac:dyDescent="0.3">
      <c r="A15" s="4">
        <v>420511</v>
      </c>
      <c r="B15" s="4">
        <v>2</v>
      </c>
      <c r="C15" s="3"/>
    </row>
    <row r="16" spans="1:3" x14ac:dyDescent="0.3">
      <c r="A16" s="4">
        <v>179140</v>
      </c>
      <c r="B16" s="4">
        <v>1</v>
      </c>
      <c r="C16" s="3"/>
    </row>
    <row r="17" spans="1:3" x14ac:dyDescent="0.3">
      <c r="A17" s="4">
        <v>8842</v>
      </c>
      <c r="B17" s="4">
        <v>1</v>
      </c>
      <c r="C17" s="3"/>
    </row>
    <row r="18" spans="1:3" x14ac:dyDescent="0.3">
      <c r="A18" s="5">
        <v>8788</v>
      </c>
      <c r="B18" s="5">
        <v>3</v>
      </c>
      <c r="C18" s="6"/>
    </row>
    <row r="19" spans="1:3" x14ac:dyDescent="0.3">
      <c r="A19" s="4">
        <v>305936</v>
      </c>
      <c r="B19" s="4">
        <v>1</v>
      </c>
      <c r="C19" s="3"/>
    </row>
    <row r="20" spans="1:3" x14ac:dyDescent="0.3">
      <c r="A20" s="4">
        <v>427830</v>
      </c>
      <c r="B20" s="4">
        <v>2</v>
      </c>
      <c r="C20" s="3"/>
    </row>
  </sheetData>
  <conditionalFormatting sqref="A21:C19958">
    <cfRule type="expression" dxfId="5" priority="8">
      <formula>$C21=1</formula>
    </cfRule>
  </conditionalFormatting>
  <conditionalFormatting sqref="A2:C20">
    <cfRule type="expression" dxfId="4" priority="1">
      <formula>$C2="X"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3" name="Button 3">
              <controlPr defaultSize="0" print="0" autoFill="0" autoPict="0" macro="[0]!BacktrackAnalyzerMetaPair">
                <anchor>
                  <from>
                    <xdr:col>6</xdr:col>
                    <xdr:colOff>388620</xdr:colOff>
                    <xdr:row>8</xdr:row>
                    <xdr:rowOff>83820</xdr:rowOff>
                  </from>
                  <to>
                    <xdr:col>8</xdr:col>
                    <xdr:colOff>495300</xdr:colOff>
                    <xdr:row>10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FB937-8093-4831-825E-8410A9647EB2}">
  <sheetPr codeName="Planilha7"/>
  <dimension ref="A1:C26"/>
  <sheetViews>
    <sheetView showGridLines="0" showRowColHeaders="0" zoomScale="140" zoomScaleNormal="140" workbookViewId="0">
      <selection activeCell="J24" sqref="J24"/>
    </sheetView>
  </sheetViews>
  <sheetFormatPr defaultColWidth="8.88671875" defaultRowHeight="14.4" customHeight="1" zeroHeight="1" x14ac:dyDescent="0.3"/>
  <cols>
    <col min="1" max="1" width="12.21875" bestFit="1" customWidth="1"/>
    <col min="2" max="2" width="14.44140625" bestFit="1" customWidth="1"/>
    <col min="3" max="5" width="8.88671875" customWidth="1"/>
  </cols>
  <sheetData>
    <row r="1" spans="1:3" x14ac:dyDescent="0.3">
      <c r="A1" s="2" t="s">
        <v>0</v>
      </c>
      <c r="B1" s="2" t="s">
        <v>1</v>
      </c>
      <c r="C1" s="2" t="s">
        <v>2</v>
      </c>
    </row>
    <row r="2" spans="1:3" x14ac:dyDescent="0.3">
      <c r="A2" s="5">
        <v>313653</v>
      </c>
      <c r="B2" s="5">
        <v>7</v>
      </c>
      <c r="C2" s="6"/>
    </row>
    <row r="3" spans="1:3" ht="14.4" customHeight="1" x14ac:dyDescent="0.3">
      <c r="A3" s="4">
        <v>421283</v>
      </c>
      <c r="B3" s="4">
        <v>9</v>
      </c>
      <c r="C3" s="3"/>
    </row>
    <row r="4" spans="1:3" ht="14.4" customHeight="1" x14ac:dyDescent="0.3">
      <c r="A4" s="4">
        <v>422905</v>
      </c>
      <c r="B4" s="4">
        <v>8</v>
      </c>
      <c r="C4" s="3"/>
    </row>
    <row r="5" spans="1:3" ht="14.4" customHeight="1" x14ac:dyDescent="0.3">
      <c r="A5" s="4">
        <v>427649</v>
      </c>
      <c r="B5" s="4">
        <v>7</v>
      </c>
      <c r="C5" s="3"/>
    </row>
    <row r="6" spans="1:3" ht="14.4" customHeight="1" x14ac:dyDescent="0.3">
      <c r="A6" s="4">
        <v>259829</v>
      </c>
      <c r="B6" s="4">
        <v>4</v>
      </c>
      <c r="C6" s="3"/>
    </row>
    <row r="7" spans="1:3" ht="14.4" customHeight="1" x14ac:dyDescent="0.3">
      <c r="A7" s="4">
        <v>339083</v>
      </c>
      <c r="B7" s="4">
        <v>2</v>
      </c>
      <c r="C7" s="3"/>
    </row>
    <row r="8" spans="1:3" ht="14.4" customHeight="1" x14ac:dyDescent="0.3">
      <c r="A8" s="4">
        <v>174513</v>
      </c>
      <c r="B8" s="4">
        <v>4</v>
      </c>
      <c r="C8" s="3"/>
    </row>
    <row r="9" spans="1:3" ht="14.4" customHeight="1" x14ac:dyDescent="0.3">
      <c r="A9" s="4">
        <v>306649</v>
      </c>
      <c r="B9" s="4">
        <v>3</v>
      </c>
      <c r="C9" s="3"/>
    </row>
    <row r="10" spans="1:3" ht="14.4" customHeight="1" x14ac:dyDescent="0.3">
      <c r="A10" s="4">
        <v>305545</v>
      </c>
      <c r="B10" s="4">
        <v>2</v>
      </c>
      <c r="C10" s="3"/>
    </row>
    <row r="11" spans="1:3" ht="14.4" customHeight="1" x14ac:dyDescent="0.3">
      <c r="A11" s="4">
        <v>171433</v>
      </c>
      <c r="B11" s="4">
        <v>2</v>
      </c>
      <c r="C11" s="3"/>
    </row>
    <row r="12" spans="1:3" ht="14.4" customHeight="1" x14ac:dyDescent="0.3">
      <c r="A12" s="4">
        <v>211028</v>
      </c>
      <c r="B12" s="4">
        <v>3</v>
      </c>
      <c r="C12" s="3"/>
    </row>
    <row r="13" spans="1:3" ht="14.4" customHeight="1" x14ac:dyDescent="0.3">
      <c r="A13" s="4">
        <v>426995</v>
      </c>
      <c r="B13" s="4">
        <v>1</v>
      </c>
      <c r="C13" s="3"/>
    </row>
    <row r="14" spans="1:3" ht="14.4" customHeight="1" x14ac:dyDescent="0.3">
      <c r="A14" s="4">
        <v>292176</v>
      </c>
      <c r="B14" s="4">
        <v>3</v>
      </c>
      <c r="C14" s="3"/>
    </row>
    <row r="15" spans="1:3" ht="14.4" customHeight="1" x14ac:dyDescent="0.3">
      <c r="A15" s="4">
        <v>420511</v>
      </c>
      <c r="B15" s="4">
        <v>2</v>
      </c>
      <c r="C15" s="3"/>
    </row>
    <row r="16" spans="1:3" ht="14.4" customHeight="1" x14ac:dyDescent="0.3">
      <c r="A16" s="4">
        <v>179140</v>
      </c>
      <c r="B16" s="4">
        <v>1</v>
      </c>
      <c r="C16" s="3"/>
    </row>
    <row r="17" spans="1:3" ht="14.4" customHeight="1" x14ac:dyDescent="0.3">
      <c r="A17" s="4">
        <v>8842</v>
      </c>
      <c r="B17" s="4">
        <v>1</v>
      </c>
      <c r="C17" s="3"/>
    </row>
    <row r="18" spans="1:3" ht="14.4" customHeight="1" x14ac:dyDescent="0.3">
      <c r="A18" s="5">
        <v>8788</v>
      </c>
      <c r="B18" s="5">
        <v>3</v>
      </c>
      <c r="C18" s="6"/>
    </row>
    <row r="19" spans="1:3" ht="14.4" customHeight="1" x14ac:dyDescent="0.3">
      <c r="A19" s="4">
        <v>305936</v>
      </c>
      <c r="B19" s="4">
        <v>1</v>
      </c>
      <c r="C19" s="3"/>
    </row>
    <row r="20" spans="1:3" ht="14.4" customHeight="1" x14ac:dyDescent="0.3">
      <c r="A20" s="4">
        <v>427830</v>
      </c>
      <c r="B20" s="4">
        <v>2</v>
      </c>
      <c r="C20" s="3"/>
    </row>
    <row r="21" spans="1:3" ht="14.4" customHeight="1" x14ac:dyDescent="0.3"/>
    <row r="22" spans="1:3" ht="14.4" customHeight="1" x14ac:dyDescent="0.3"/>
    <row r="23" spans="1:3" ht="14.4" customHeight="1" x14ac:dyDescent="0.3"/>
    <row r="24" spans="1:3" ht="14.4" customHeight="1" x14ac:dyDescent="0.3"/>
    <row r="25" spans="1:3" ht="14.4" customHeight="1" x14ac:dyDescent="0.3"/>
    <row r="26" spans="1:3" ht="14.4" customHeight="1" x14ac:dyDescent="0.3"/>
  </sheetData>
  <conditionalFormatting sqref="A2:C20">
    <cfRule type="expression" dxfId="3" priority="1">
      <formula>$C2="X"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BacktrackAnalyzerSolverCombination">
                <anchor>
                  <from>
                    <xdr:col>6</xdr:col>
                    <xdr:colOff>373380</xdr:colOff>
                    <xdr:row>8</xdr:row>
                    <xdr:rowOff>160020</xdr:rowOff>
                  </from>
                  <to>
                    <xdr:col>8</xdr:col>
                    <xdr:colOff>480060</xdr:colOff>
                    <xdr:row>11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7FE02F-A6F4-4271-AADC-5E191A9453F3}">
  <sheetPr codeName="Planilha9"/>
  <dimension ref="A1:Q24"/>
  <sheetViews>
    <sheetView showGridLines="0" tabSelected="1" workbookViewId="0">
      <selection activeCell="J19" sqref="J19"/>
    </sheetView>
  </sheetViews>
  <sheetFormatPr defaultRowHeight="14.4" x14ac:dyDescent="0.3"/>
  <cols>
    <col min="1" max="1" width="12.21875" bestFit="1" customWidth="1"/>
    <col min="2" max="2" width="14.44140625" bestFit="1" customWidth="1"/>
    <col min="3" max="3" width="8.109375" bestFit="1" customWidth="1"/>
    <col min="4" max="4" width="3" customWidth="1"/>
    <col min="5" max="5" width="15" customWidth="1"/>
    <col min="7" max="7" width="2.77734375" customWidth="1"/>
    <col min="8" max="8" width="19.44140625" style="1" customWidth="1"/>
    <col min="9" max="9" width="2.77734375" customWidth="1"/>
    <col min="10" max="10" width="14.5546875" style="1" customWidth="1"/>
    <col min="11" max="11" width="2.77734375" customWidth="1"/>
    <col min="12" max="12" width="11.21875" style="1" customWidth="1"/>
    <col min="13" max="13" width="11.109375" style="1" customWidth="1"/>
    <col min="14" max="14" width="2.109375" customWidth="1"/>
    <col min="15" max="15" width="5" customWidth="1"/>
    <col min="16" max="16" width="18.6640625" bestFit="1" customWidth="1"/>
    <col min="17" max="17" width="8.88671875" style="1"/>
  </cols>
  <sheetData>
    <row r="1" spans="1:17" ht="43.2" customHeight="1" x14ac:dyDescent="0.3">
      <c r="A1" s="8" t="s">
        <v>0</v>
      </c>
      <c r="B1" s="9" t="s">
        <v>1</v>
      </c>
      <c r="C1" s="8" t="s">
        <v>2</v>
      </c>
      <c r="E1" s="10" t="s">
        <v>7</v>
      </c>
      <c r="F1" s="10" t="s">
        <v>3</v>
      </c>
      <c r="H1" s="10" t="s">
        <v>11</v>
      </c>
      <c r="J1" s="10" t="s">
        <v>5</v>
      </c>
      <c r="L1" s="10" t="s">
        <v>5</v>
      </c>
      <c r="M1" s="10" t="s">
        <v>6</v>
      </c>
      <c r="O1" s="13" t="s">
        <v>10</v>
      </c>
      <c r="P1" s="13"/>
      <c r="Q1" s="14"/>
    </row>
    <row r="2" spans="1:17" x14ac:dyDescent="0.3">
      <c r="A2" s="5">
        <v>313653</v>
      </c>
      <c r="B2" s="4">
        <v>7</v>
      </c>
      <c r="C2" s="6"/>
      <c r="E2" t="s">
        <v>8</v>
      </c>
      <c r="F2" s="1">
        <v>10</v>
      </c>
      <c r="H2" s="1">
        <v>7</v>
      </c>
      <c r="J2" s="1">
        <v>7</v>
      </c>
      <c r="L2" s="1">
        <v>7</v>
      </c>
      <c r="M2" s="1">
        <v>1</v>
      </c>
      <c r="O2" s="1">
        <v>1</v>
      </c>
      <c r="P2" s="11" t="s">
        <v>14</v>
      </c>
      <c r="Q2" s="1">
        <v>1055</v>
      </c>
    </row>
    <row r="3" spans="1:17" x14ac:dyDescent="0.3">
      <c r="A3" s="4">
        <v>421283</v>
      </c>
      <c r="B3" s="4">
        <v>9</v>
      </c>
      <c r="C3" s="3"/>
      <c r="E3" t="s">
        <v>9</v>
      </c>
      <c r="F3" s="1">
        <v>3</v>
      </c>
      <c r="H3" s="1">
        <v>5</v>
      </c>
      <c r="J3" s="1">
        <v>5</v>
      </c>
      <c r="L3" s="1">
        <v>5</v>
      </c>
      <c r="M3" s="1">
        <v>2</v>
      </c>
      <c r="O3" s="1">
        <v>2</v>
      </c>
      <c r="P3" s="11" t="s">
        <v>15</v>
      </c>
      <c r="Q3" s="1">
        <v>1978</v>
      </c>
    </row>
    <row r="4" spans="1:17" x14ac:dyDescent="0.3">
      <c r="A4" s="4">
        <v>422905</v>
      </c>
      <c r="B4" s="4">
        <v>8</v>
      </c>
      <c r="C4" s="3"/>
      <c r="H4" s="1">
        <v>5</v>
      </c>
      <c r="J4" s="1">
        <v>4</v>
      </c>
      <c r="L4" s="1">
        <v>4</v>
      </c>
      <c r="M4" s="1">
        <v>2</v>
      </c>
      <c r="O4" s="1">
        <v>3</v>
      </c>
      <c r="P4" s="11" t="s">
        <v>16</v>
      </c>
      <c r="Q4" s="1">
        <v>1664</v>
      </c>
    </row>
    <row r="5" spans="1:17" x14ac:dyDescent="0.3">
      <c r="A5" s="4">
        <v>427649</v>
      </c>
      <c r="B5" s="4">
        <v>5</v>
      </c>
      <c r="C5" s="3"/>
      <c r="H5" s="1">
        <v>4</v>
      </c>
      <c r="J5" s="1">
        <v>3</v>
      </c>
      <c r="L5" s="1">
        <v>3</v>
      </c>
      <c r="M5" s="1">
        <v>3</v>
      </c>
      <c r="O5" s="1">
        <v>4</v>
      </c>
      <c r="P5" s="11" t="s">
        <v>17</v>
      </c>
      <c r="Q5" s="1">
        <v>662</v>
      </c>
    </row>
    <row r="6" spans="1:17" x14ac:dyDescent="0.3">
      <c r="A6" s="4">
        <v>259829</v>
      </c>
      <c r="B6" s="4">
        <v>4</v>
      </c>
      <c r="C6" s="3"/>
      <c r="H6" s="1">
        <v>4</v>
      </c>
      <c r="J6" s="1">
        <v>2</v>
      </c>
      <c r="L6" s="1">
        <v>2</v>
      </c>
      <c r="M6" s="1">
        <v>5</v>
      </c>
      <c r="O6" s="1">
        <v>5</v>
      </c>
      <c r="P6" s="11" t="s">
        <v>18</v>
      </c>
      <c r="Q6" s="1">
        <v>572</v>
      </c>
    </row>
    <row r="7" spans="1:17" x14ac:dyDescent="0.3">
      <c r="A7" s="4">
        <v>339083</v>
      </c>
      <c r="B7" s="4">
        <v>2</v>
      </c>
      <c r="C7" s="3"/>
      <c r="H7" s="1">
        <v>3</v>
      </c>
      <c r="J7" s="1">
        <v>1</v>
      </c>
      <c r="L7" s="1">
        <v>1</v>
      </c>
      <c r="M7" s="1">
        <v>4</v>
      </c>
      <c r="O7" s="1">
        <v>6</v>
      </c>
      <c r="P7" s="11" t="s">
        <v>19</v>
      </c>
      <c r="Q7" s="1">
        <v>1403</v>
      </c>
    </row>
    <row r="8" spans="1:17" x14ac:dyDescent="0.3">
      <c r="A8" s="4">
        <v>174513</v>
      </c>
      <c r="B8" s="4">
        <v>4</v>
      </c>
      <c r="C8" s="3"/>
      <c r="H8" s="1">
        <v>3</v>
      </c>
      <c r="O8" s="1">
        <v>7</v>
      </c>
      <c r="P8" s="11" t="s">
        <v>20</v>
      </c>
      <c r="Q8" s="1">
        <v>981</v>
      </c>
    </row>
    <row r="9" spans="1:17" x14ac:dyDescent="0.3">
      <c r="A9" s="4">
        <v>306649</v>
      </c>
      <c r="B9" s="4">
        <v>3</v>
      </c>
      <c r="C9" s="3"/>
      <c r="H9" s="1">
        <v>3</v>
      </c>
      <c r="O9" s="1">
        <v>8</v>
      </c>
      <c r="P9" s="11" t="s">
        <v>21</v>
      </c>
      <c r="Q9" s="1">
        <v>844</v>
      </c>
    </row>
    <row r="10" spans="1:17" x14ac:dyDescent="0.3">
      <c r="A10" s="4">
        <v>305545</v>
      </c>
      <c r="B10" s="4">
        <v>2</v>
      </c>
      <c r="C10" s="3"/>
      <c r="H10" s="1">
        <v>2</v>
      </c>
      <c r="O10" s="1">
        <v>9</v>
      </c>
      <c r="P10" s="11" t="s">
        <v>22</v>
      </c>
      <c r="Q10" s="1">
        <v>252</v>
      </c>
    </row>
    <row r="11" spans="1:17" x14ac:dyDescent="0.3">
      <c r="A11" s="4">
        <v>171433</v>
      </c>
      <c r="B11" s="4">
        <v>2</v>
      </c>
      <c r="C11" s="3"/>
      <c r="H11" s="1">
        <v>2</v>
      </c>
      <c r="O11" s="1">
        <v>10</v>
      </c>
      <c r="P11" s="11" t="s">
        <v>23</v>
      </c>
      <c r="Q11" s="1">
        <v>162</v>
      </c>
    </row>
    <row r="12" spans="1:17" x14ac:dyDescent="0.3">
      <c r="A12" s="4">
        <v>211028</v>
      </c>
      <c r="B12" s="4">
        <v>5</v>
      </c>
      <c r="C12" s="3"/>
      <c r="H12" s="1">
        <v>2</v>
      </c>
      <c r="O12" s="1">
        <v>11</v>
      </c>
      <c r="P12" t="s">
        <v>24</v>
      </c>
      <c r="Q12" s="1">
        <v>950</v>
      </c>
    </row>
    <row r="13" spans="1:17" x14ac:dyDescent="0.3">
      <c r="A13" s="4">
        <v>426995</v>
      </c>
      <c r="B13" s="4">
        <v>2</v>
      </c>
      <c r="C13" s="3"/>
      <c r="H13" s="1">
        <v>2</v>
      </c>
      <c r="O13" s="1">
        <v>12</v>
      </c>
      <c r="P13" t="s">
        <v>25</v>
      </c>
      <c r="Q13" s="1">
        <v>1833</v>
      </c>
    </row>
    <row r="14" spans="1:17" x14ac:dyDescent="0.3">
      <c r="A14" s="4">
        <v>292176</v>
      </c>
      <c r="B14" s="4">
        <v>3</v>
      </c>
      <c r="C14" s="3"/>
      <c r="H14" s="1">
        <v>2</v>
      </c>
      <c r="O14" s="1"/>
    </row>
    <row r="15" spans="1:17" x14ac:dyDescent="0.3">
      <c r="A15" s="4">
        <v>420511</v>
      </c>
      <c r="B15" s="4">
        <v>1</v>
      </c>
      <c r="C15" s="3"/>
      <c r="H15" s="1">
        <v>1</v>
      </c>
      <c r="O15" s="1"/>
    </row>
    <row r="16" spans="1:17" x14ac:dyDescent="0.3">
      <c r="A16" s="4">
        <v>179140</v>
      </c>
      <c r="B16" s="4">
        <v>1</v>
      </c>
      <c r="C16" s="3"/>
      <c r="H16" s="1">
        <v>1</v>
      </c>
      <c r="O16" s="1"/>
    </row>
    <row r="17" spans="1:15" x14ac:dyDescent="0.3">
      <c r="A17" s="4">
        <v>8842</v>
      </c>
      <c r="B17" s="4">
        <v>1</v>
      </c>
      <c r="C17" s="3"/>
      <c r="H17" s="1">
        <v>1</v>
      </c>
      <c r="O17" s="1"/>
    </row>
    <row r="18" spans="1:15" x14ac:dyDescent="0.3">
      <c r="A18" s="5">
        <v>8788</v>
      </c>
      <c r="B18" s="4">
        <v>3</v>
      </c>
      <c r="C18" s="6"/>
      <c r="H18" s="1">
        <v>1</v>
      </c>
      <c r="O18" s="1"/>
    </row>
    <row r="19" spans="1:15" x14ac:dyDescent="0.3">
      <c r="A19" s="4">
        <v>305936</v>
      </c>
      <c r="B19" s="4">
        <v>1</v>
      </c>
      <c r="C19" s="3"/>
      <c r="O19" s="1"/>
    </row>
    <row r="20" spans="1:15" x14ac:dyDescent="0.3">
      <c r="A20" s="4">
        <v>427830</v>
      </c>
      <c r="B20" s="4">
        <v>2</v>
      </c>
      <c r="C20" s="3"/>
      <c r="O20" s="1"/>
    </row>
    <row r="21" spans="1:15" x14ac:dyDescent="0.3">
      <c r="O21" s="1"/>
    </row>
    <row r="22" spans="1:15" x14ac:dyDescent="0.3">
      <c r="O22" s="1"/>
    </row>
    <row r="23" spans="1:15" x14ac:dyDescent="0.3">
      <c r="O23" s="1"/>
    </row>
    <row r="24" spans="1:15" x14ac:dyDescent="0.3">
      <c r="O24" s="1"/>
    </row>
  </sheetData>
  <mergeCells count="1">
    <mergeCell ref="O1:Q1"/>
  </mergeCells>
  <conditionalFormatting sqref="A2:C20">
    <cfRule type="expression" dxfId="2" priority="2">
      <formula>$C2="X"</formula>
    </cfRule>
  </conditionalFormatting>
  <conditionalFormatting sqref="E2:F4 H2:Q4 E5:Q27">
    <cfRule type="notContainsBlanks" dxfId="1" priority="4">
      <formula>LEN(TRIM(E2))&gt;0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lassificarFiltrarContarCombinacoes">
                <anchor>
                  <from>
                    <xdr:col>3</xdr:col>
                    <xdr:colOff>182880</xdr:colOff>
                    <xdr:row>3</xdr:row>
                    <xdr:rowOff>76200</xdr:rowOff>
                  </from>
                  <to>
                    <xdr:col>5</xdr:col>
                    <xdr:colOff>304800</xdr:colOff>
                    <xdr:row>5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9E9CB-D468-49C4-8C58-A1719A81276B}">
  <sheetPr codeName="Planilha3"/>
  <dimension ref="A1:C20"/>
  <sheetViews>
    <sheetView showGridLines="0" zoomScale="130" zoomScaleNormal="130" workbookViewId="0">
      <selection activeCell="C17" sqref="C17"/>
    </sheetView>
  </sheetViews>
  <sheetFormatPr defaultColWidth="0" defaultRowHeight="14.4" zeroHeight="1" x14ac:dyDescent="0.3"/>
  <cols>
    <col min="1" max="1" width="12.33203125" bestFit="1" customWidth="1"/>
    <col min="2" max="2" width="15" customWidth="1"/>
    <col min="3" max="3" width="10.21875" customWidth="1"/>
    <col min="4" max="16384" width="8.88671875" hidden="1"/>
  </cols>
  <sheetData>
    <row r="1" spans="1:3" x14ac:dyDescent="0.3">
      <c r="A1" s="2" t="s">
        <v>0</v>
      </c>
      <c r="B1" s="2" t="s">
        <v>1</v>
      </c>
      <c r="C1" s="2" t="s">
        <v>2</v>
      </c>
    </row>
    <row r="2" spans="1:3" x14ac:dyDescent="0.3">
      <c r="A2" s="4">
        <v>313653</v>
      </c>
      <c r="B2" s="4">
        <v>7</v>
      </c>
      <c r="C2" s="3"/>
    </row>
    <row r="3" spans="1:3" x14ac:dyDescent="0.3">
      <c r="A3" s="4">
        <v>421283</v>
      </c>
      <c r="B3" s="4">
        <v>9</v>
      </c>
      <c r="C3" s="3"/>
    </row>
    <row r="4" spans="1:3" x14ac:dyDescent="0.3">
      <c r="A4" s="4">
        <v>422905</v>
      </c>
      <c r="B4" s="4">
        <v>8</v>
      </c>
      <c r="C4" s="3"/>
    </row>
    <row r="5" spans="1:3" x14ac:dyDescent="0.3">
      <c r="A5" s="4">
        <v>427649</v>
      </c>
      <c r="B5" s="4">
        <v>7</v>
      </c>
      <c r="C5" s="3"/>
    </row>
    <row r="6" spans="1:3" x14ac:dyDescent="0.3">
      <c r="A6" s="4">
        <v>259829</v>
      </c>
      <c r="B6" s="4">
        <v>4</v>
      </c>
      <c r="C6" s="3"/>
    </row>
    <row r="7" spans="1:3" x14ac:dyDescent="0.3">
      <c r="A7" s="4">
        <v>339083</v>
      </c>
      <c r="B7" s="4">
        <v>2</v>
      </c>
      <c r="C7" s="3"/>
    </row>
    <row r="8" spans="1:3" x14ac:dyDescent="0.3">
      <c r="A8" s="4">
        <v>174513</v>
      </c>
      <c r="B8" s="4">
        <v>4</v>
      </c>
      <c r="C8" s="3"/>
    </row>
    <row r="9" spans="1:3" x14ac:dyDescent="0.3">
      <c r="A9" s="4">
        <v>306649</v>
      </c>
      <c r="B9" s="4">
        <v>3</v>
      </c>
      <c r="C9" s="3"/>
    </row>
    <row r="10" spans="1:3" x14ac:dyDescent="0.3">
      <c r="A10" s="4">
        <v>305545</v>
      </c>
      <c r="B10" s="4">
        <v>2</v>
      </c>
      <c r="C10" s="3"/>
    </row>
    <row r="11" spans="1:3" x14ac:dyDescent="0.3">
      <c r="A11" s="4">
        <v>171433</v>
      </c>
      <c r="B11" s="4">
        <v>2</v>
      </c>
      <c r="C11" s="3"/>
    </row>
    <row r="12" spans="1:3" x14ac:dyDescent="0.3">
      <c r="A12" s="4">
        <v>211028</v>
      </c>
      <c r="B12" s="4">
        <v>3</v>
      </c>
      <c r="C12" s="3"/>
    </row>
    <row r="13" spans="1:3" x14ac:dyDescent="0.3">
      <c r="A13" s="4">
        <v>426995</v>
      </c>
      <c r="B13" s="4">
        <v>1</v>
      </c>
      <c r="C13" s="3"/>
    </row>
    <row r="14" spans="1:3" x14ac:dyDescent="0.3">
      <c r="A14" s="4">
        <v>292176</v>
      </c>
      <c r="B14" s="4">
        <v>3</v>
      </c>
      <c r="C14" s="3"/>
    </row>
    <row r="15" spans="1:3" x14ac:dyDescent="0.3">
      <c r="A15" s="4">
        <v>420511</v>
      </c>
      <c r="B15" s="4">
        <v>2</v>
      </c>
      <c r="C15" s="3"/>
    </row>
    <row r="16" spans="1:3" x14ac:dyDescent="0.3">
      <c r="A16" s="4">
        <v>179140</v>
      </c>
      <c r="B16" s="4">
        <v>1</v>
      </c>
      <c r="C16" s="3"/>
    </row>
    <row r="17" spans="1:3" x14ac:dyDescent="0.3">
      <c r="A17" s="4">
        <v>8842</v>
      </c>
      <c r="B17" s="4">
        <v>1</v>
      </c>
      <c r="C17" s="3"/>
    </row>
    <row r="18" spans="1:3" x14ac:dyDescent="0.3">
      <c r="A18" s="4">
        <v>8788</v>
      </c>
      <c r="B18" s="4">
        <v>3</v>
      </c>
      <c r="C18" s="3"/>
    </row>
    <row r="19" spans="1:3" x14ac:dyDescent="0.3">
      <c r="A19" s="4">
        <v>305936</v>
      </c>
      <c r="B19" s="4">
        <v>1</v>
      </c>
      <c r="C19" s="3"/>
    </row>
    <row r="20" spans="1:3" x14ac:dyDescent="0.3">
      <c r="A20" s="4">
        <v>427830</v>
      </c>
      <c r="B20" s="4">
        <v>2</v>
      </c>
      <c r="C20" s="3"/>
    </row>
  </sheetData>
  <conditionalFormatting sqref="A2:B20">
    <cfRule type="expression" dxfId="0" priority="1">
      <formula>$G2=1</formula>
    </cfRule>
  </conditionalFormatting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54AD9-A757-40AC-A086-CEA6B73F6A83}">
  <sheetPr codeName="Planilha1"/>
  <dimension ref="A1:C20"/>
  <sheetViews>
    <sheetView showGridLines="0" zoomScale="140" zoomScaleNormal="140" workbookViewId="0">
      <selection activeCell="B13" sqref="B13"/>
    </sheetView>
  </sheetViews>
  <sheetFormatPr defaultColWidth="8.88671875" defaultRowHeight="14.4" x14ac:dyDescent="0.3"/>
  <cols>
    <col min="1" max="1" width="12.21875" bestFit="1" customWidth="1"/>
    <col min="2" max="2" width="14.44140625" bestFit="1" customWidth="1"/>
    <col min="3" max="3" width="8.88671875" customWidth="1"/>
  </cols>
  <sheetData>
    <row r="1" spans="1:3" x14ac:dyDescent="0.3">
      <c r="A1" s="2" t="s">
        <v>0</v>
      </c>
      <c r="B1" s="2" t="s">
        <v>1</v>
      </c>
      <c r="C1" s="2" t="s">
        <v>2</v>
      </c>
    </row>
    <row r="2" spans="1:3" x14ac:dyDescent="0.3">
      <c r="A2" s="4">
        <v>313653</v>
      </c>
      <c r="B2" s="4">
        <v>7</v>
      </c>
      <c r="C2" s="3"/>
    </row>
    <row r="3" spans="1:3" x14ac:dyDescent="0.3">
      <c r="A3" s="4">
        <v>421283</v>
      </c>
      <c r="B3" s="4">
        <v>9</v>
      </c>
      <c r="C3" s="3"/>
    </row>
    <row r="4" spans="1:3" x14ac:dyDescent="0.3">
      <c r="A4" s="4">
        <v>422905</v>
      </c>
      <c r="B4" s="4">
        <v>8</v>
      </c>
      <c r="C4" s="3"/>
    </row>
    <row r="5" spans="1:3" x14ac:dyDescent="0.3">
      <c r="A5" s="4">
        <v>427649</v>
      </c>
      <c r="B5" s="4">
        <v>7</v>
      </c>
      <c r="C5" s="3"/>
    </row>
    <row r="6" spans="1:3" x14ac:dyDescent="0.3">
      <c r="A6" s="4">
        <v>259829</v>
      </c>
      <c r="B6" s="4">
        <v>4</v>
      </c>
      <c r="C6" s="3"/>
    </row>
    <row r="7" spans="1:3" x14ac:dyDescent="0.3">
      <c r="A7" s="4">
        <v>339083</v>
      </c>
      <c r="B7" s="4">
        <v>2</v>
      </c>
      <c r="C7" s="3"/>
    </row>
    <row r="8" spans="1:3" x14ac:dyDescent="0.3">
      <c r="A8" s="4">
        <v>174513</v>
      </c>
      <c r="B8" s="4">
        <v>4</v>
      </c>
      <c r="C8" s="3"/>
    </row>
    <row r="9" spans="1:3" x14ac:dyDescent="0.3">
      <c r="A9" s="4">
        <v>306649</v>
      </c>
      <c r="B9" s="4">
        <v>3</v>
      </c>
      <c r="C9" s="3"/>
    </row>
    <row r="10" spans="1:3" x14ac:dyDescent="0.3">
      <c r="A10" s="4">
        <v>305545</v>
      </c>
      <c r="B10" s="4">
        <v>2</v>
      </c>
      <c r="C10" s="3"/>
    </row>
    <row r="11" spans="1:3" x14ac:dyDescent="0.3">
      <c r="A11" s="4">
        <v>171433</v>
      </c>
      <c r="B11" s="4">
        <v>2</v>
      </c>
      <c r="C11" s="3"/>
    </row>
    <row r="12" spans="1:3" x14ac:dyDescent="0.3">
      <c r="A12" s="4">
        <v>211028</v>
      </c>
      <c r="B12" s="4">
        <v>3</v>
      </c>
      <c r="C12" s="3"/>
    </row>
    <row r="13" spans="1:3" x14ac:dyDescent="0.3">
      <c r="A13" s="4">
        <v>426995</v>
      </c>
      <c r="B13" s="4">
        <v>1</v>
      </c>
      <c r="C13" s="3"/>
    </row>
    <row r="14" spans="1:3" x14ac:dyDescent="0.3">
      <c r="A14" s="4">
        <v>292176</v>
      </c>
      <c r="B14" s="4">
        <v>3</v>
      </c>
      <c r="C14" s="3"/>
    </row>
    <row r="15" spans="1:3" x14ac:dyDescent="0.3">
      <c r="A15" s="4">
        <v>420511</v>
      </c>
      <c r="B15" s="4">
        <v>2</v>
      </c>
      <c r="C15" s="3"/>
    </row>
    <row r="16" spans="1:3" x14ac:dyDescent="0.3">
      <c r="A16" s="4">
        <v>179140</v>
      </c>
      <c r="B16" s="4">
        <v>1</v>
      </c>
      <c r="C16" s="3"/>
    </row>
    <row r="17" spans="1:3" x14ac:dyDescent="0.3">
      <c r="A17" s="4">
        <v>8842</v>
      </c>
      <c r="B17" s="4">
        <v>1</v>
      </c>
      <c r="C17" s="3"/>
    </row>
    <row r="18" spans="1:3" x14ac:dyDescent="0.3">
      <c r="A18" s="4">
        <v>8788</v>
      </c>
      <c r="B18" s="4">
        <v>3</v>
      </c>
      <c r="C18" s="3"/>
    </row>
    <row r="19" spans="1:3" x14ac:dyDescent="0.3">
      <c r="A19" s="4">
        <v>305936</v>
      </c>
      <c r="B19" s="4">
        <v>1</v>
      </c>
      <c r="C19" s="3"/>
    </row>
    <row r="20" spans="1:3" x14ac:dyDescent="0.3">
      <c r="A20" s="4">
        <v>427830</v>
      </c>
      <c r="B20" s="4">
        <v>2</v>
      </c>
      <c r="C20" s="3"/>
    </row>
  </sheetData>
  <conditionalFormatting sqref="A21:C19993">
    <cfRule type="expression" dxfId="10" priority="2">
      <formula>$C21=1</formula>
    </cfRule>
  </conditionalFormatting>
  <conditionalFormatting sqref="A2:B20">
    <cfRule type="expression" dxfId="9" priority="1">
      <formula>$G2=1</formula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HOME</vt:lpstr>
      <vt:lpstr>0.Solver</vt:lpstr>
      <vt:lpstr>1.Solução</vt:lpstr>
      <vt:lpstr>2.Solução</vt:lpstr>
      <vt:lpstr>3.Solução</vt:lpstr>
      <vt:lpstr>4.AnaliseCombinatoria</vt:lpstr>
      <vt:lpstr>BKP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Antônio da Silva</dc:creator>
  <cp:lastModifiedBy>Carlos Antônio da Silva</cp:lastModifiedBy>
  <dcterms:created xsi:type="dcterms:W3CDTF">2024-10-28T09:07:36Z</dcterms:created>
  <dcterms:modified xsi:type="dcterms:W3CDTF">2025-01-09T11:59:39Z</dcterms:modified>
</cp:coreProperties>
</file>